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1ncid\OneDrive\Desktop\DOCS CAPSTONE\Fase 1\"/>
    </mc:Choice>
  </mc:AlternateContent>
  <xr:revisionPtr revIDLastSave="0" documentId="13_ncr:1_{86586A1F-7EF6-4D1E-A32D-8E7DF2B827C3}"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 l="1"/>
  <c r="K44" i="1" s="1"/>
  <c r="H44" i="1"/>
  <c r="I44" i="1" s="1"/>
  <c r="F44" i="1"/>
  <c r="G44" i="1" s="1"/>
  <c r="D44" i="1"/>
  <c r="E44" i="1" s="1"/>
  <c r="B44" i="1"/>
  <c r="J43" i="1"/>
  <c r="K43" i="1" s="1"/>
  <c r="H43" i="1"/>
  <c r="I43" i="1" s="1"/>
  <c r="F43" i="1"/>
  <c r="G43" i="1" s="1"/>
  <c r="D43" i="1"/>
  <c r="E43" i="1" s="1"/>
  <c r="B43" i="1"/>
  <c r="J42" i="1"/>
  <c r="K42" i="1" s="1"/>
  <c r="H42" i="1"/>
  <c r="I42" i="1" s="1"/>
  <c r="F42" i="1"/>
  <c r="G42" i="1" s="1"/>
  <c r="G45" i="1" s="1"/>
  <c r="D42" i="1"/>
  <c r="E42" i="1" s="1"/>
  <c r="B42" i="1"/>
  <c r="C38" i="1"/>
  <c r="J32" i="1"/>
  <c r="K32" i="1" s="1"/>
  <c r="H32" i="1"/>
  <c r="I32" i="1" s="1"/>
  <c r="F32" i="1"/>
  <c r="G32" i="1" s="1"/>
  <c r="D32" i="1"/>
  <c r="E32" i="1" s="1"/>
  <c r="B32" i="1"/>
  <c r="J31" i="1"/>
  <c r="K31" i="1" s="1"/>
  <c r="H31" i="1"/>
  <c r="I31" i="1" s="1"/>
  <c r="F31" i="1"/>
  <c r="G31" i="1" s="1"/>
  <c r="D31" i="1"/>
  <c r="E31" i="1" s="1"/>
  <c r="B31" i="1"/>
  <c r="J30" i="1"/>
  <c r="K30" i="1" s="1"/>
  <c r="K33" i="1" s="1"/>
  <c r="H30" i="1"/>
  <c r="I30" i="1" s="1"/>
  <c r="F30" i="1"/>
  <c r="G30" i="1" s="1"/>
  <c r="G33" i="1" s="1"/>
  <c r="D30" i="1"/>
  <c r="E30" i="1" s="1"/>
  <c r="E33" i="1" s="1"/>
  <c r="B30" i="1"/>
  <c r="C26" i="1"/>
  <c r="J21" i="1"/>
  <c r="K21" i="1" s="1"/>
  <c r="H21" i="1"/>
  <c r="I21" i="1" s="1"/>
  <c r="F21" i="1"/>
  <c r="G21" i="1" s="1"/>
  <c r="D21" i="1"/>
  <c r="E21" i="1" s="1"/>
  <c r="B21" i="1"/>
  <c r="J20" i="1"/>
  <c r="K20" i="1" s="1"/>
  <c r="H20" i="1"/>
  <c r="I20" i="1" s="1"/>
  <c r="F20" i="1"/>
  <c r="G20" i="1" s="1"/>
  <c r="D20" i="1"/>
  <c r="E20" i="1" s="1"/>
  <c r="B20" i="1"/>
  <c r="J19" i="1"/>
  <c r="K19" i="1" s="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H13" i="1"/>
  <c r="I13" i="1" s="1"/>
  <c r="F13" i="1"/>
  <c r="G13" i="1" s="1"/>
  <c r="D13" i="1"/>
  <c r="E13" i="1" s="1"/>
  <c r="B13" i="1"/>
  <c r="J12" i="1"/>
  <c r="K12" i="1" s="1"/>
  <c r="H12" i="1"/>
  <c r="I12" i="1" s="1"/>
  <c r="F12" i="1"/>
  <c r="G12" i="1" s="1"/>
  <c r="D12" i="1"/>
  <c r="E12" i="1" s="1"/>
  <c r="B12" i="1"/>
  <c r="E45" i="1" l="1"/>
  <c r="K45" i="1"/>
  <c r="I33" i="1"/>
  <c r="C33" i="1" s="1"/>
  <c r="C34" i="1" s="1"/>
  <c r="D4" i="1" s="1"/>
  <c r="I45" i="1"/>
  <c r="C45" i="1" s="1"/>
  <c r="C46" i="1" s="1"/>
  <c r="D5" i="1" s="1"/>
  <c r="E22" i="1"/>
  <c r="I22" i="1"/>
  <c r="G22" i="1"/>
  <c r="K22" i="1"/>
  <c r="C22" i="1" l="1"/>
  <c r="C23" i="1" s="1"/>
  <c r="C4" i="1" l="1"/>
  <c r="E4" i="1" s="1"/>
  <c r="C5" i="1"/>
  <c r="E5" i="1" s="1"/>
</calcChain>
</file>

<file path=xl/sharedStrings.xml><?xml version="1.0" encoding="utf-8"?>
<sst xmlns="http://schemas.openxmlformats.org/spreadsheetml/2006/main" count="141" uniqueCount="97">
  <si>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</si>
  <si>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</si>
  <si>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</si>
  <si>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</si>
  <si>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</si>
  <si>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</si>
  <si>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</si>
  <si>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</si>
  <si>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</si>
  <si>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</si>
  <si>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</si>
  <si>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</si>
  <si>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</si>
  <si>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</si>
  <si>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</si>
  <si>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</si>
  <si>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</si>
  <si>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</si>
  <si>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</si>
  <si>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</si>
  <si>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</si>
  <si>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</si>
  <si>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</si>
  <si>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</si>
  <si>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</si>
  <si>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</si>
  <si>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</si>
  <si>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</si>
  <si>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</si>
  <si>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</si>
  <si>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</si>
  <si>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</si>
  <si>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</si>
  <si>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</si>
  <si>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</si>
  <si>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</si>
  <si>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</si>
  <si>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</si>
  <si>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</si>
  <si>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</si>
  <si>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</si>
  <si>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</si>
  <si>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</si>
  <si>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</si>
  <si>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</si>
  <si>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</si>
  <si>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</si>
  <si>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</si>
  <si>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</si>
  <si>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</si>
  <si>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</si>
  <si>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</si>
  <si>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</si>
  <si>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</si>
  <si>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</si>
  <si>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</si>
  <si>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</si>
  <si>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</si>
  <si>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</si>
  <si>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</si>
  <si>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</si>
  <si>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</si>
  <si>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</si>
  <si>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</si>
  <si>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</si>
  <si>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</si>
  <si>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</si>
  <si>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</si>
  <si>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</si>
  <si>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</si>
  <si>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</si>
  <si>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</si>
  <si>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</si>
  <si>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</si>
  <si>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</si>
  <si>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</si>
  <si>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</si>
  <si>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</si>
  <si>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</si>
  <si>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</si>
  <si>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</si>
  <si>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</si>
  <si>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</si>
  <si>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</si>
  <si>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</si>
  <si>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</si>
  <si>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</si>
  <si>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</si>
  <si>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</si>
  <si>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</si>
  <si>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</si>
  <si>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</si>
  <si>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</si>
  <si>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</si>
  <si>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</si>
  <si>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Benjamín Ignacio Herrera Pérez</t>
  </si>
  <si>
    <t>Julian Ignacio Tapia Abello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</si>
</sst>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8"/>
  <sheetViews>
    <sheetView tabSelected="1" zoomScale="120" zoomScaleNormal="120" workbookViewId="0">
      <selection activeCell="K8" sqref="K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EVALUACION1!$C$23</f>
        <v>6.6</v>
      </c>
      <c r="D4" s="6">
        <f>$C$34</f>
        <v>6</v>
      </c>
      <c r="E4" s="43">
        <f>C4*C$2+D4*D$2</f>
        <v>6.4499999999999993</v>
      </c>
      <c r="G4" s="1"/>
    </row>
    <row r="5" spans="1:11" x14ac:dyDescent="0.25">
      <c r="A5" s="5">
        <v>2</v>
      </c>
      <c r="B5" s="32" t="s">
        <v>96</v>
      </c>
      <c r="C5" s="6">
        <f>EVALUACION1!$C$23</f>
        <v>6.6</v>
      </c>
      <c r="D5" s="6">
        <f>C46</f>
        <v>5</v>
      </c>
      <c r="E5" s="43">
        <f t="shared" ref="E5" si="0">C5*C$2+D5*D$2</f>
        <v>6.1999999999999993</v>
      </c>
      <c r="G5" s="1"/>
    </row>
    <row r="10" spans="1:11" ht="18.75" outlineLevel="1" x14ac:dyDescent="0.25">
      <c r="A10" s="64" t="s">
        <v>3</v>
      </c>
      <c r="B10" s="14"/>
      <c r="C10" s="51" t="s">
        <v>4</v>
      </c>
      <c r="D10" s="58" t="s">
        <v>5</v>
      </c>
      <c r="E10" s="62"/>
      <c r="F10" s="62"/>
      <c r="G10" s="62"/>
      <c r="H10" s="62"/>
      <c r="I10" s="62"/>
      <c r="J10" s="62"/>
      <c r="K10" s="59"/>
    </row>
    <row r="11" spans="1:11" outlineLevel="1" x14ac:dyDescent="0.25">
      <c r="A11" s="61"/>
      <c r="B11" s="24" t="s">
        <v>6</v>
      </c>
      <c r="C11" s="50"/>
      <c r="D11" s="58" t="s">
        <v>7</v>
      </c>
      <c r="E11" s="59"/>
      <c r="F11" s="58" t="s">
        <v>8</v>
      </c>
      <c r="G11" s="59"/>
      <c r="H11" s="58" t="s">
        <v>9</v>
      </c>
      <c r="I11" s="59"/>
      <c r="J11" s="58" t="s">
        <v>10</v>
      </c>
      <c r="K11" s="59"/>
    </row>
    <row r="12" spans="1:11" ht="24" outlineLevel="1" x14ac:dyDescent="0.25">
      <c r="A12" s="65"/>
      <c r="B12" s="35" t="str">
        <f>RUBRICA!A5</f>
        <v>1. Describe brevemente en qué consiste el Proyecto APT, justificando su relevancia para el campo laboral de su carrera.</v>
      </c>
      <c r="C12" s="33" t="s">
        <v>7</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5" customHeight="1" outlineLevel="1" x14ac:dyDescent="0.25">
      <c r="A13" s="65"/>
      <c r="B13" s="35" t="str">
        <f>RUBRICA!A6</f>
        <v>2. Relaciona el Proyecto APT con las competencias del perfil de egreso de su Plan de Estudio.</v>
      </c>
      <c r="C13" s="33" t="s">
        <v>7</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24" outlineLevel="1" x14ac:dyDescent="0.25">
      <c r="A14" s="65"/>
      <c r="B14" s="35" t="str">
        <f>RUBRICA!A8</f>
        <v xml:space="preserve">4.  Argumenta por qué el proyecto es factible de realizarse en el marco de la asignatura. </v>
      </c>
      <c r="C14" s="33" t="s">
        <v>7</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24" outlineLevel="1" x14ac:dyDescent="0.25">
      <c r="A15" s="65"/>
      <c r="B15" s="35" t="str">
        <f>RUBRICA!A9</f>
        <v xml:space="preserve">5. Formula objetivos claros, concisos y coherentes con la disciplina y la situación a abordar. </v>
      </c>
      <c r="C15" s="33" t="s">
        <v>7</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5"/>
      <c r="B16" s="35" t="str">
        <f>RUBRICA!A10</f>
        <v>6. Propone una metodología de trabajo que permite alcanzar los objetivos propuestos y es pertinente con los requerimientos disciplinares.</v>
      </c>
      <c r="C16" s="33" t="s">
        <v>7</v>
      </c>
      <c r="D16" s="16" t="str">
        <f t="shared" ref="D16:D21" si="12">IF($C16=CL,"X","")</f>
        <v>X</v>
      </c>
      <c r="E16" s="16">
        <f t="shared" ref="E16" si="13">IF(D16="X",100*0.1,"")</f>
        <v>10</v>
      </c>
      <c r="F16" s="16" t="str">
        <f t="shared" ref="F16:F21" si="14">IF($C16=L,"X","")</f>
        <v/>
      </c>
      <c r="G16" s="16" t="str">
        <f t="shared" ref="G16" si="15">IF(F16="X",60*0.1,"")</f>
        <v/>
      </c>
      <c r="H16" s="16" t="str">
        <f t="shared" ref="H16:H21" si="16">IF($C16=ML,"X","")</f>
        <v/>
      </c>
      <c r="I16" s="16" t="str">
        <f t="shared" ref="I16" si="17">IF(H16="X",30*0.1,"")</f>
        <v/>
      </c>
      <c r="J16" s="16" t="str">
        <f t="shared" ref="J16:J21" si="18">IF($C16=NL,"X","")</f>
        <v/>
      </c>
      <c r="K16" s="16" t="str">
        <f t="shared" ref="K16:K21" si="19">IF($J16="X",0,"")</f>
        <v/>
      </c>
    </row>
    <row r="17" spans="1:11" ht="24" outlineLevel="1" x14ac:dyDescent="0.25">
      <c r="A17" s="65"/>
      <c r="B17" s="35" t="str">
        <f>RUBRICA!A11</f>
        <v xml:space="preserve">7. Establece un plan de trabajo para su proyecto APT considerando los recursos, duración, facilitadores y obstaculizadores en el desarrollo de las actividades. </v>
      </c>
      <c r="C17" s="33" t="s">
        <v>7</v>
      </c>
      <c r="D17" s="16" t="str">
        <f t="shared" si="12"/>
        <v>X</v>
      </c>
      <c r="E17" s="16">
        <f t="shared" ref="E17" si="20">IF(D17="X",100*0.1,"")</f>
        <v>10</v>
      </c>
      <c r="F17" s="16" t="str">
        <f t="shared" si="14"/>
        <v/>
      </c>
      <c r="G17" s="16" t="str">
        <f t="shared" ref="G17" si="21">IF(F17="X",60*0.1,"")</f>
        <v/>
      </c>
      <c r="H17" s="16" t="str">
        <f t="shared" si="16"/>
        <v/>
      </c>
      <c r="I17" s="16" t="str">
        <f t="shared" ref="I17" si="22">IF(H17="X",30*0.1,"")</f>
        <v/>
      </c>
      <c r="J17" s="16" t="str">
        <f t="shared" si="18"/>
        <v/>
      </c>
      <c r="K17" s="16" t="str">
        <f t="shared" si="19"/>
        <v/>
      </c>
    </row>
    <row r="18" spans="1:11" ht="24" outlineLevel="1" x14ac:dyDescent="0.25">
      <c r="A18" s="65"/>
      <c r="B18" s="35" t="str">
        <f>RUBRICA!A12</f>
        <v>8. Determina evidencias, justificando cómo estas dan cuenta del logro de las actividades del Proyecto APT.</v>
      </c>
      <c r="C18" s="33" t="s">
        <v>7</v>
      </c>
      <c r="D18" s="16" t="str">
        <f t="shared" si="12"/>
        <v>X</v>
      </c>
      <c r="E18" s="16">
        <f>IF(D18="X",100*0.05,"")</f>
        <v>5</v>
      </c>
      <c r="F18" s="16" t="str">
        <f t="shared" si="14"/>
        <v/>
      </c>
      <c r="G18" s="16" t="str">
        <f t="shared" ref="G18" si="23">IF(F18="X",60*0.05,"")</f>
        <v/>
      </c>
      <c r="H18" s="16" t="str">
        <f t="shared" si="16"/>
        <v/>
      </c>
      <c r="I18" s="16" t="str">
        <f t="shared" ref="I18" si="24">IF(H18="X",30*0.05,"")</f>
        <v/>
      </c>
      <c r="J18" s="16" t="str">
        <f t="shared" si="18"/>
        <v/>
      </c>
      <c r="K18" s="16" t="str">
        <f t="shared" si="19"/>
        <v/>
      </c>
    </row>
    <row r="19" spans="1:11" ht="24" outlineLevel="1" x14ac:dyDescent="0.25">
      <c r="A19" s="65"/>
      <c r="B19" s="35" t="str">
        <f>RUBRICA!A13</f>
        <v xml:space="preserve">9. Utiliza reglas de redacción, ortografía (literal, puntual, acentual) y las normas para citas y referencias. </v>
      </c>
      <c r="C19" s="33" t="s">
        <v>8</v>
      </c>
      <c r="D19" s="16" t="str">
        <f t="shared" si="12"/>
        <v/>
      </c>
      <c r="E19" s="16" t="str">
        <f>IF(D19="X",100*0.05,"")</f>
        <v/>
      </c>
      <c r="F19" s="16" t="str">
        <f t="shared" si="14"/>
        <v>X</v>
      </c>
      <c r="G19" s="16">
        <f t="shared" si="10"/>
        <v>3</v>
      </c>
      <c r="H19" s="16" t="str">
        <f t="shared" si="16"/>
        <v/>
      </c>
      <c r="I19" s="16" t="str">
        <f t="shared" si="11"/>
        <v/>
      </c>
      <c r="J19" s="16" t="str">
        <f t="shared" si="18"/>
        <v/>
      </c>
      <c r="K19" s="16" t="str">
        <f t="shared" si="19"/>
        <v/>
      </c>
    </row>
    <row r="20" spans="1:11" ht="22.9" customHeight="1" outlineLevel="1" x14ac:dyDescent="0.25">
      <c r="A20" s="65"/>
      <c r="B20" s="35" t="str">
        <f>RUBRICA!A14</f>
        <v>10. Cumple completando el contenido del informe de presentación del proyecto de acuerdo con la plantilla entregada.</v>
      </c>
      <c r="C20" s="33" t="s">
        <v>8</v>
      </c>
      <c r="D20" s="16" t="str">
        <f t="shared" si="12"/>
        <v/>
      </c>
      <c r="E20" s="16" t="str">
        <f t="shared" si="9"/>
        <v/>
      </c>
      <c r="F20" s="16" t="str">
        <f t="shared" si="14"/>
        <v>X</v>
      </c>
      <c r="G20" s="16">
        <f t="shared" si="10"/>
        <v>3</v>
      </c>
      <c r="H20" s="16" t="str">
        <f t="shared" si="16"/>
        <v/>
      </c>
      <c r="I20" s="16" t="str">
        <f t="shared" si="11"/>
        <v/>
      </c>
      <c r="J20" s="16" t="str">
        <f t="shared" si="18"/>
        <v/>
      </c>
      <c r="K20" s="16" t="str">
        <f t="shared" si="19"/>
        <v/>
      </c>
    </row>
    <row r="21" spans="1:11" ht="36" outlineLevel="1" x14ac:dyDescent="0.25">
      <c r="A21" s="65"/>
      <c r="B21" s="35" t="str">
        <f>RUBRICA!A16</f>
        <v>12. Desarrolla un plan de trabajo que permita del logro de los objetivos propuestos del proyecto de 
acuerdo a los tiempos para su desarrollo</v>
      </c>
      <c r="C21" s="33" t="s">
        <v>7</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x14ac:dyDescent="0.3">
      <c r="A22" s="61"/>
      <c r="B22" s="34" t="s">
        <v>11</v>
      </c>
      <c r="C22" s="37">
        <f>E22+G22+I22+K22</f>
        <v>66</v>
      </c>
      <c r="D22" s="19"/>
      <c r="E22" s="19">
        <f>SUM(E12:E21)</f>
        <v>60</v>
      </c>
      <c r="F22" s="19"/>
      <c r="G22" s="19">
        <f>SUM(G12:G21)</f>
        <v>6</v>
      </c>
      <c r="H22" s="19"/>
      <c r="I22" s="19">
        <f>SUM(I12:I21)</f>
        <v>0</v>
      </c>
      <c r="J22" s="19"/>
      <c r="K22" s="19">
        <f>SUM(K12:K21)</f>
        <v>0</v>
      </c>
    </row>
    <row r="23" spans="1:11" ht="15.75" customHeight="1" outlineLevel="1" x14ac:dyDescent="0.3">
      <c r="A23" s="50"/>
      <c r="B23" s="36" t="s">
        <v>12</v>
      </c>
      <c r="C23" s="20">
        <f>VLOOKUP(C22,ESCALA_IEP!A2:B142,2,FALSE)</f>
        <v>6.6</v>
      </c>
    </row>
    <row r="24" spans="1:11" ht="15.75" customHeight="1" x14ac:dyDescent="0.25"/>
    <row r="25" spans="1:11" ht="15.75" customHeight="1" x14ac:dyDescent="0.25"/>
    <row r="26" spans="1:11" ht="15.75" customHeight="1" x14ac:dyDescent="0.25">
      <c r="A26" s="60" t="s">
        <v>13</v>
      </c>
      <c r="B26" s="49" t="s">
        <v>14</v>
      </c>
      <c r="C26" s="52" t="str">
        <f>$B$4</f>
        <v>Benjamín Ignacio Herrera Pérez</v>
      </c>
      <c r="D26" s="53"/>
      <c r="E26" s="53"/>
      <c r="F26" s="53"/>
      <c r="G26" s="53"/>
      <c r="H26" s="53"/>
      <c r="I26" s="53"/>
      <c r="J26" s="53"/>
      <c r="K26" s="54"/>
    </row>
    <row r="27" spans="1:11" ht="15.75" customHeight="1" x14ac:dyDescent="0.25">
      <c r="A27" s="61"/>
      <c r="B27" s="50"/>
      <c r="C27" s="55"/>
      <c r="D27" s="56"/>
      <c r="E27" s="56"/>
      <c r="F27" s="56"/>
      <c r="G27" s="56"/>
      <c r="H27" s="56"/>
      <c r="I27" s="56"/>
      <c r="J27" s="56"/>
      <c r="K27" s="57"/>
    </row>
    <row r="28" spans="1:11" ht="15.75" customHeight="1" x14ac:dyDescent="0.25">
      <c r="A28" s="61"/>
      <c r="B28" s="14" t="s">
        <v>15</v>
      </c>
      <c r="C28" s="51" t="s">
        <v>4</v>
      </c>
      <c r="D28" s="58" t="s">
        <v>5</v>
      </c>
      <c r="E28" s="62"/>
      <c r="F28" s="62"/>
      <c r="G28" s="62"/>
      <c r="H28" s="62"/>
      <c r="I28" s="62"/>
      <c r="J28" s="62"/>
      <c r="K28" s="59"/>
    </row>
    <row r="29" spans="1:11" ht="15.75" customHeight="1" x14ac:dyDescent="0.25">
      <c r="A29" s="61"/>
      <c r="B29" s="15" t="s">
        <v>6</v>
      </c>
      <c r="C29" s="50"/>
      <c r="D29" s="58" t="s">
        <v>7</v>
      </c>
      <c r="E29" s="59"/>
      <c r="F29" s="58" t="s">
        <v>8</v>
      </c>
      <c r="G29" s="59"/>
      <c r="H29" s="58" t="s">
        <v>16</v>
      </c>
      <c r="I29" s="59"/>
      <c r="J29" s="58" t="s">
        <v>10</v>
      </c>
      <c r="K29" s="59"/>
    </row>
    <row r="30" spans="1:11" ht="24.6" customHeight="1" x14ac:dyDescent="0.25">
      <c r="A30" s="61"/>
      <c r="B30" s="35" t="str">
        <f>RUBRICA!A7</f>
        <v>3. Relaciona el Proyecto APT con sus intereses profesionales. *</v>
      </c>
      <c r="C30" s="33" t="s">
        <v>7</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5.9" customHeight="1" x14ac:dyDescent="0.25">
      <c r="A31" s="61"/>
      <c r="B31" s="35" t="str">
        <f>RUBRICA!A15</f>
        <v>11. Expone el tema utilizando un lenguaje técnico disciplinar al presentar la propuesta y responde evidenciando un manejo de la información. *</v>
      </c>
      <c r="C31" s="33" t="s">
        <v>8</v>
      </c>
      <c r="D31" s="16" t="str">
        <f t="shared" si="25"/>
        <v/>
      </c>
      <c r="E31" s="16" t="str">
        <f>IF(D31="X",100*0.1,"")</f>
        <v/>
      </c>
      <c r="F31" s="16" t="str">
        <f t="shared" si="26"/>
        <v>X</v>
      </c>
      <c r="G31" s="16">
        <f>IF(F31="X",60*0.1,"")</f>
        <v>6</v>
      </c>
      <c r="H31" s="16" t="str">
        <f t="shared" si="27"/>
        <v/>
      </c>
      <c r="I31" s="16" t="str">
        <f>IF(H31="X",30*0.1,"")</f>
        <v/>
      </c>
      <c r="J31" s="16" t="str">
        <f t="shared" si="28"/>
        <v/>
      </c>
      <c r="K31" s="16" t="str">
        <f t="shared" si="29"/>
        <v/>
      </c>
    </row>
    <row r="32" spans="1:11" x14ac:dyDescent="0.25">
      <c r="A32" s="61"/>
      <c r="B32" s="35" t="str">
        <f>RUBRICA!A17</f>
        <v>13. Colaboración y trabajo en equipo *</v>
      </c>
      <c r="C32" s="33" t="s">
        <v>7</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x14ac:dyDescent="0.3">
      <c r="A33" s="61"/>
      <c r="B33" s="21" t="s">
        <v>17</v>
      </c>
      <c r="C33" s="18">
        <f>E33+G33+I33+K33</f>
        <v>26</v>
      </c>
      <c r="D33" s="19"/>
      <c r="E33" s="19">
        <f>SUM(E30:E32)</f>
        <v>20</v>
      </c>
      <c r="F33" s="19"/>
      <c r="G33" s="19">
        <f t="shared" ref="G33:K33" si="30">SUM(G30:G32)</f>
        <v>6</v>
      </c>
      <c r="H33" s="19"/>
      <c r="I33" s="19">
        <f t="shared" si="30"/>
        <v>0</v>
      </c>
      <c r="J33" s="19"/>
      <c r="K33" s="19">
        <f t="shared" si="30"/>
        <v>0</v>
      </c>
    </row>
    <row r="34" spans="1:11" ht="15.75" customHeight="1" x14ac:dyDescent="0.3">
      <c r="A34" s="50"/>
      <c r="B34" s="17" t="s">
        <v>12</v>
      </c>
      <c r="C34" s="20">
        <f>VLOOKUP(C33,ESCALA_TRAB_EQUIP!A2:B62,2,FALSE)</f>
        <v>6</v>
      </c>
    </row>
    <row r="35" spans="1:11" ht="15.75" customHeight="1" x14ac:dyDescent="0.3">
      <c r="B35" s="22"/>
      <c r="C35" s="23"/>
    </row>
    <row r="36" spans="1:11" ht="15.75" customHeight="1" x14ac:dyDescent="0.3">
      <c r="B36" s="22"/>
      <c r="C36" s="23"/>
    </row>
    <row r="37" spans="1:11" ht="15.75" customHeight="1" x14ac:dyDescent="0.25"/>
    <row r="38" spans="1:11" ht="15.75" customHeight="1" x14ac:dyDescent="0.25">
      <c r="A38" s="60" t="s">
        <v>13</v>
      </c>
      <c r="B38" s="49" t="s">
        <v>14</v>
      </c>
      <c r="C38" s="52" t="str">
        <f>B5</f>
        <v>Julian Ignacio Tapia Abello</v>
      </c>
      <c r="D38" s="53"/>
      <c r="E38" s="53"/>
      <c r="F38" s="53"/>
      <c r="G38" s="53"/>
      <c r="H38" s="53"/>
      <c r="I38" s="53"/>
      <c r="J38" s="53"/>
      <c r="K38" s="54"/>
    </row>
    <row r="39" spans="1:11" ht="15.75" customHeight="1" x14ac:dyDescent="0.25">
      <c r="A39" s="61"/>
      <c r="B39" s="50"/>
      <c r="C39" s="55"/>
      <c r="D39" s="56"/>
      <c r="E39" s="56"/>
      <c r="F39" s="56"/>
      <c r="G39" s="56"/>
      <c r="H39" s="56"/>
      <c r="I39" s="56"/>
      <c r="J39" s="56"/>
      <c r="K39" s="57"/>
    </row>
    <row r="40" spans="1:11" ht="15.75" customHeight="1" x14ac:dyDescent="0.25">
      <c r="A40" s="61"/>
      <c r="B40" s="14" t="s">
        <v>15</v>
      </c>
      <c r="C40" s="51" t="s">
        <v>4</v>
      </c>
      <c r="D40" s="58" t="s">
        <v>5</v>
      </c>
      <c r="E40" s="62"/>
      <c r="F40" s="62"/>
      <c r="G40" s="62"/>
      <c r="H40" s="62"/>
      <c r="I40" s="62"/>
      <c r="J40" s="62"/>
      <c r="K40" s="59"/>
    </row>
    <row r="41" spans="1:11" ht="15.75" customHeight="1" x14ac:dyDescent="0.25">
      <c r="A41" s="61"/>
      <c r="B41" s="15" t="s">
        <v>6</v>
      </c>
      <c r="C41" s="50"/>
      <c r="D41" s="58" t="s">
        <v>7</v>
      </c>
      <c r="E41" s="59"/>
      <c r="F41" s="58" t="s">
        <v>8</v>
      </c>
      <c r="G41" s="59"/>
      <c r="H41" s="58" t="s">
        <v>16</v>
      </c>
      <c r="I41" s="59"/>
      <c r="J41" s="58" t="s">
        <v>10</v>
      </c>
      <c r="K41" s="59"/>
    </row>
    <row r="42" spans="1:11" ht="25.9" customHeight="1" x14ac:dyDescent="0.25">
      <c r="A42" s="61"/>
      <c r="B42" s="35" t="str">
        <f>RUBRICA!A7</f>
        <v>3. Relaciona el Proyecto APT con sus intereses profesionales. *</v>
      </c>
      <c r="C42" s="33" t="s">
        <v>8</v>
      </c>
      <c r="D42" s="16" t="str">
        <f t="shared" ref="D42:D43" si="31">IF($C42=CL,"X","")</f>
        <v/>
      </c>
      <c r="E42" s="16" t="str">
        <f>IF(D42="X",100*0.1,"")</f>
        <v/>
      </c>
      <c r="F42" s="16" t="str">
        <f t="shared" ref="F42:F43" si="32">IF($C42=L,"X","")</f>
        <v>X</v>
      </c>
      <c r="G42" s="16">
        <f>IF(F42="X",60*0.1,"")</f>
        <v>6</v>
      </c>
      <c r="H42" s="16" t="str">
        <f t="shared" ref="H42:H43" si="33">IF($C42=ML,"X","")</f>
        <v/>
      </c>
      <c r="I42" s="16" t="str">
        <f>IF(H42="X",30*0.1,"")</f>
        <v/>
      </c>
      <c r="J42" s="16" t="str">
        <f t="shared" ref="J42:J43" si="34">IF($C42=NL,"X","")</f>
        <v/>
      </c>
      <c r="K42" s="16" t="str">
        <f t="shared" ref="K42:K43" si="35">IF($J42="X",0,"")</f>
        <v/>
      </c>
    </row>
    <row r="43" spans="1:11" ht="24" x14ac:dyDescent="0.25">
      <c r="A43" s="61"/>
      <c r="B43" s="35" t="str">
        <f>RUBRICA!A15</f>
        <v>11. Expone el tema utilizando un lenguaje técnico disciplinar al presentar la propuesta y responde evidenciando un manejo de la información. *</v>
      </c>
      <c r="C43" s="33" t="s">
        <v>8</v>
      </c>
      <c r="D43" s="16" t="str">
        <f t="shared" si="31"/>
        <v/>
      </c>
      <c r="E43" s="16" t="str">
        <f>IF(D43="X",100*0.1,"")</f>
        <v/>
      </c>
      <c r="F43" s="16" t="str">
        <f t="shared" si="32"/>
        <v>X</v>
      </c>
      <c r="G43" s="16">
        <f>IF(F43="X",60*0.1,"")</f>
        <v>6</v>
      </c>
      <c r="H43" s="16" t="str">
        <f t="shared" si="33"/>
        <v/>
      </c>
      <c r="I43" s="16" t="str">
        <f>IF(H43="X",30*0.1,"")</f>
        <v/>
      </c>
      <c r="J43" s="16" t="str">
        <f t="shared" si="34"/>
        <v/>
      </c>
      <c r="K43" s="16" t="str">
        <f t="shared" si="35"/>
        <v/>
      </c>
    </row>
    <row r="44" spans="1:11" ht="15.75" customHeight="1" x14ac:dyDescent="0.25">
      <c r="A44" s="61"/>
      <c r="B44" s="35" t="str">
        <f>RUBRICA!A17</f>
        <v>13. Colaboración y trabajo en equipo *</v>
      </c>
      <c r="C44" s="33" t="s">
        <v>7</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x14ac:dyDescent="0.3">
      <c r="A45" s="61"/>
      <c r="B45" s="21" t="s">
        <v>17</v>
      </c>
      <c r="C45" s="18">
        <f>E45+G45+I45+K45</f>
        <v>22</v>
      </c>
      <c r="D45" s="19"/>
      <c r="E45" s="19">
        <f>SUM(E42:E44)</f>
        <v>10</v>
      </c>
      <c r="F45" s="19"/>
      <c r="G45" s="19">
        <f t="shared" ref="G45" si="36">SUM(G42:G44)</f>
        <v>12</v>
      </c>
      <c r="H45" s="19"/>
      <c r="I45" s="19">
        <f t="shared" ref="I45" si="37">SUM(I42:I44)</f>
        <v>0</v>
      </c>
      <c r="J45" s="19"/>
      <c r="K45" s="19">
        <f t="shared" ref="K45" si="38">SUM(K42:K44)</f>
        <v>0</v>
      </c>
    </row>
    <row r="46" spans="1:11" ht="15.75" customHeight="1" x14ac:dyDescent="0.3">
      <c r="A46" s="50"/>
      <c r="B46" s="17" t="s">
        <v>12</v>
      </c>
      <c r="C46" s="20">
        <f>VLOOKUP(C45,ESCALA_TRAB_EQUIP!A2:B62,2,FALSE)</f>
        <v>5</v>
      </c>
    </row>
    <row r="47" spans="1:11" ht="15.75" customHeight="1" x14ac:dyDescent="0.3">
      <c r="B47" s="22"/>
      <c r="C47" s="23"/>
    </row>
    <row r="48" spans="1:11" ht="15.75" customHeight="1" x14ac:dyDescent="0.3">
      <c r="B48" s="22"/>
      <c r="C48" s="23"/>
    </row>
    <row r="49" spans="2:3" ht="15.75" customHeight="1" x14ac:dyDescent="0.25"/>
    <row r="50" spans="2:3" ht="15.75" customHeight="1" x14ac:dyDescent="0.25"/>
    <row r="51" spans="2:3" ht="15.75" customHeight="1" x14ac:dyDescent="0.25"/>
    <row r="52" spans="2:3" ht="15.75" customHeight="1" x14ac:dyDescent="0.25"/>
    <row r="53" spans="2:3" x14ac:dyDescent="0.25"/>
    <row r="54" spans="2:3" x14ac:dyDescent="0.25"/>
    <row r="55" spans="2:3" ht="15.75" customHeight="1" x14ac:dyDescent="0.25"/>
    <row r="56" spans="2:3" ht="15.75" customHeight="1" x14ac:dyDescent="0.25"/>
    <row r="57" spans="2:3" ht="15.75" customHeight="1" x14ac:dyDescent="0.3"/>
    <row r="58" spans="2:3" ht="15.75" customHeight="1" x14ac:dyDescent="0.3">
      <c r="B58" s="22"/>
      <c r="C58" s="23"/>
    </row>
    <row r="59" spans="2:3" ht="15.75" customHeight="1" x14ac:dyDescent="0.25"/>
    <row r="60" spans="2:3" ht="15.75" customHeight="1" x14ac:dyDescent="0.25"/>
    <row r="61" spans="2:3" ht="15.75" customHeight="1" x14ac:dyDescent="0.25"/>
    <row r="62" spans="2:3" ht="15.75" customHeight="1" x14ac:dyDescent="0.25"/>
    <row r="63" spans="2:3" ht="15.75" customHeight="1" x14ac:dyDescent="0.25"/>
    <row r="64" spans="2:3"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sheetData>
  <mergeCells count="26">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0"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JULIAN IGNACIO TAPIA ABELLO</cp:lastModifiedBy>
  <cp:revision/>
  <dcterms:created xsi:type="dcterms:W3CDTF">2023-08-07T04:08:01Z</dcterms:created>
  <dcterms:modified xsi:type="dcterms:W3CDTF">2026-10-22T03:30:11Z</dcterms:modified>
  <cp:category/>
  <cp:contentStatus/>
</cp:coreProperties>
</file>