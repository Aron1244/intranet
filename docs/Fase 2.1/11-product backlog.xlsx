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acklog" sheetId="2" state="visible" r:id="rId2"/>
    <sheet xmlns:r="http://schemas.openxmlformats.org/officeDocument/2006/relationships" name="Por iteracion" sheetId="3" state="visible" r:id="rId3"/>
    <sheet xmlns:r="http://schemas.openxmlformats.org/officeDocument/2006/relationships" name="Por epica" sheetId="4" state="visible" r:id="rId4"/>
    <sheet xmlns:r="http://schemas.openxmlformats.org/officeDocument/2006/relationships" name="Diccionario" sheetId="5" state="visible" r:id="rId5"/>
  </sheets>
  <definedNames>
    <definedName name="_xlnm._FilterDatabase" localSheetId="1" hidden="1">'Backlog'!$A$5:$K$40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2A5A6B"/>
      <sz val="20"/>
    </font>
    <font>
      <name val="Calibri"/>
      <i val="1"/>
      <color rgb="00686877"/>
      <sz val="11"/>
    </font>
    <font>
      <name val="Calibri"/>
      <b val="1"/>
      <color rgb="002A5A6B"/>
      <sz val="11"/>
    </font>
    <font>
      <name val="Calibri"/>
      <b val="1"/>
      <color rgb="00FFFFFF"/>
      <sz val="11"/>
    </font>
    <font>
      <name val="Calibri"/>
      <b val="1"/>
      <color rgb="002A5A6B"/>
      <sz val="10"/>
    </font>
    <font>
      <name val="Calibri"/>
      <color rgb="001A1A28"/>
      <sz val="10"/>
    </font>
    <font>
      <name val="Calibri"/>
      <b val="1"/>
      <color rgb="007A8C7A"/>
      <sz val="10"/>
    </font>
    <font>
      <name val="Calibri"/>
      <b val="1"/>
      <color rgb="00C97B3F"/>
      <sz val="10"/>
    </font>
    <font>
      <name val="Calibri"/>
      <color rgb="00888888"/>
      <sz val="10"/>
    </font>
    <font>
      <name val="Calibri"/>
      <b val="1"/>
      <color rgb="005C8598"/>
      <sz val="10"/>
    </font>
    <font>
      <name val="Calibri"/>
      <color rgb="002A5A6B"/>
      <sz val="10"/>
    </font>
    <font>
      <name val="Calibri"/>
      <b val="1"/>
      <color rgb="00A85A4A"/>
      <sz val="10"/>
    </font>
    <font>
      <name val="Calibri"/>
      <color rgb="004A4A4A"/>
      <sz val="9"/>
    </font>
  </fonts>
  <fills count="8">
    <fill>
      <patternFill/>
    </fill>
    <fill>
      <patternFill patternType="gray125"/>
    </fill>
    <fill>
      <patternFill patternType="solid">
        <fgColor rgb="00E6EFF2"/>
        <bgColor rgb="00E6EFF2"/>
      </patternFill>
    </fill>
    <fill>
      <patternFill patternType="solid">
        <fgColor rgb="002A5A6B"/>
        <bgColor rgb="002A5A6B"/>
      </patternFill>
    </fill>
    <fill>
      <patternFill patternType="solid">
        <fgColor rgb="00E8EFE6"/>
        <bgColor rgb="00E8EFE6"/>
      </patternFill>
    </fill>
    <fill>
      <patternFill patternType="solid">
        <fgColor rgb="00F4E9DC"/>
        <bgColor rgb="00F4E9DC"/>
      </patternFill>
    </fill>
    <fill>
      <patternFill patternType="solid">
        <fgColor rgb="00EFEFEF"/>
        <bgColor rgb="00EFEFEF"/>
      </patternFill>
    </fill>
    <fill>
      <patternFill patternType="solid">
        <fgColor rgb="00F0DDD8"/>
        <bgColor rgb="00F0DDD8"/>
      </patternFill>
    </fill>
  </fills>
  <borders count="6">
    <border>
      <left/>
      <right/>
      <top/>
      <bottom/>
      <diagonal/>
    </border>
    <border>
      <left style="thin">
        <color rgb="00D8D2C5"/>
      </left>
      <right style="thin">
        <color rgb="00D8D2C5"/>
      </right>
      <top style="thin">
        <color rgb="00D8D2C5"/>
      </top>
      <bottom style="thin">
        <color rgb="00D8D2C5"/>
      </bottom>
    </border>
    <border>
      <left/>
      <right/>
      <top style="thin">
        <color rgb="00D8D2C5"/>
      </top>
      <bottom/>
      <diagonal/>
    </border>
    <border>
      <left/>
      <right style="thin">
        <color rgb="00D8D2C5"/>
      </right>
      <top style="thin">
        <color rgb="00D8D2C5"/>
      </top>
      <bottom/>
      <diagonal/>
    </border>
    <border>
      <left/>
      <right/>
      <top style="thin">
        <color rgb="00D8D2C5"/>
      </top>
      <bottom style="thin">
        <color rgb="00D8D2C5"/>
      </bottom>
      <diagonal/>
    </border>
    <border>
      <left/>
      <right style="thin">
        <color rgb="00D8D2C5"/>
      </right>
      <top style="thin">
        <color rgb="00D8D2C5"/>
      </top>
      <bottom style="thin">
        <color rgb="00D8D2C5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" fontId="6" fillId="0" borderId="1" applyAlignment="1" pivotButton="0" quotePrefix="0" xfId="0">
      <alignment horizontal="left" vertical="center"/>
    </xf>
    <xf numFmtId="1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A5A6B"/>
    <outlinePr summaryBelow="1" summaryRight="1"/>
    <pageSetUpPr/>
  </sheetPr>
  <dimension ref="A1:L4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6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6" customHeight="1">
      <c r="A1" s="1" t="inlineStr">
        <is>
          <t>Coherev — Product Backlog (Resumen)</t>
        </is>
      </c>
    </row>
    <row r="2" ht="20" customHeight="1">
      <c r="A2" s="2" t="inlineStr">
        <is>
          <t>Generado el 2026-10-17 · 35 tarjetas · 6 épicas · 7 iteraciones (M0-M6) · WIP = 3 / persona</t>
        </is>
      </c>
    </row>
    <row r="4">
      <c r="A4" s="3" t="inlineStr">
        <is>
          <t>KPIs principales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9" t="n"/>
    </row>
    <row r="5">
      <c r="A5" s="4" t="inlineStr">
        <is>
          <t>Métrica</t>
        </is>
      </c>
      <c r="B5" s="4" t="inlineStr">
        <is>
          <t>Valor</t>
        </is>
      </c>
    </row>
    <row r="6" ht="22" customHeight="1">
      <c r="A6" s="5" t="inlineStr">
        <is>
          <t>Tarjetas totales</t>
        </is>
      </c>
      <c r="B6" s="30" t="n">
        <v>35</v>
      </c>
    </row>
    <row r="7" ht="22" customHeight="1">
      <c r="A7" s="5" t="inlineStr">
        <is>
          <t>Tarjetas hechas</t>
        </is>
      </c>
      <c r="B7" s="6">
        <f>COUNTIF(Backlog!I2:I1000,"Hecho")</f>
        <v/>
      </c>
    </row>
    <row r="8" ht="22" customHeight="1">
      <c r="A8" s="5" t="inlineStr">
        <is>
          <t>Tarjetas en curso</t>
        </is>
      </c>
      <c r="B8" s="6">
        <f>COUNTIF(Backlog!I2:I1000,"En curso")</f>
        <v/>
      </c>
    </row>
    <row r="9" ht="22" customHeight="1">
      <c r="A9" s="5" t="inlineStr">
        <is>
          <t>Tarjetas pendientes</t>
        </is>
      </c>
      <c r="B9" s="6">
        <f>COUNTIF(Backlog!I2:I1000,"Pendiente")</f>
        <v/>
      </c>
    </row>
    <row r="10" ht="22" customHeight="1">
      <c r="A10" s="5" t="inlineStr">
        <is>
          <t>Cobertura de tests (Iter 1)</t>
        </is>
      </c>
      <c r="B10" s="6" t="inlineStr">
        <is>
          <t>78+ tests PHPUnit</t>
        </is>
      </c>
    </row>
    <row r="11" ht="22" customHeight="1">
      <c r="A11" s="5" t="inlineStr">
        <is>
          <t>NSM objetivo (Iter 4)</t>
        </is>
      </c>
      <c r="B11" s="6" t="inlineStr">
        <is>
          <t>5 mensajes / WAU / semana</t>
        </is>
      </c>
    </row>
    <row r="12" ht="22" customHeight="1">
      <c r="A12" s="5" t="inlineStr">
        <is>
          <t>Fecha de inicio</t>
        </is>
      </c>
      <c r="B12" s="6" t="inlineStr">
        <is>
          <t>31-ago-2026</t>
        </is>
      </c>
    </row>
    <row r="13" ht="22" customHeight="1">
      <c r="A13" s="5" t="inlineStr">
        <is>
          <t>Fecha de entrega</t>
        </is>
      </c>
      <c r="B13" s="6" t="inlineStr">
        <is>
          <t>04-dic-2026</t>
        </is>
      </c>
    </row>
    <row r="14" ht="22" customHeight="1">
      <c r="A14" s="5" t="inlineStr">
        <is>
          <t>Semanas totales</t>
        </is>
      </c>
      <c r="B14" s="6" t="inlineStr">
        <is>
          <t>14</t>
        </is>
      </c>
    </row>
    <row r="15" ht="22" customHeight="1">
      <c r="A15" s="5" t="inlineStr">
        <is>
          <t>WIP por persona</t>
        </is>
      </c>
      <c r="B15" s="6" t="inlineStr">
        <is>
          <t>3 tarjetas max.</t>
        </is>
      </c>
    </row>
    <row r="17">
      <c r="A17" s="3" t="inlineStr">
        <is>
          <t>Distribución por estado</t>
        </is>
      </c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9" t="n"/>
    </row>
    <row r="18">
      <c r="A18" s="4" t="inlineStr">
        <is>
          <t>Estado</t>
        </is>
      </c>
      <c r="B18" s="4" t="inlineStr">
        <is>
          <t>Tarjetas</t>
        </is>
      </c>
      <c r="C18" s="4" t="inlineStr">
        <is>
          <t>%</t>
        </is>
      </c>
    </row>
    <row r="19" ht="22" customHeight="1">
      <c r="A19" s="7" t="inlineStr">
        <is>
          <t>Hecho</t>
        </is>
      </c>
      <c r="B19" s="31" t="n">
        <v>1</v>
      </c>
      <c r="C19" s="9" t="n">
        <v>0.02857142857142857</v>
      </c>
    </row>
    <row r="20" ht="22" customHeight="1">
      <c r="A20" s="10" t="inlineStr">
        <is>
          <t>En curso</t>
        </is>
      </c>
      <c r="B20" s="31" t="n">
        <v>9</v>
      </c>
      <c r="C20" s="9" t="n">
        <v>0.2571428571428571</v>
      </c>
    </row>
    <row r="21" ht="22" customHeight="1">
      <c r="A21" s="11" t="inlineStr">
        <is>
          <t>Pendiente</t>
        </is>
      </c>
      <c r="B21" s="31" t="n">
        <v>25</v>
      </c>
      <c r="C21" s="9" t="n">
        <v>0.7142857142857143</v>
      </c>
    </row>
    <row r="23">
      <c r="A23" s="3" t="inlineStr">
        <is>
          <t>Distribución por épica</t>
        </is>
      </c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9" t="n"/>
    </row>
    <row r="24">
      <c r="A24" s="4" t="inlineStr">
        <is>
          <t>Épica</t>
        </is>
      </c>
      <c r="B24" s="4" t="inlineStr">
        <is>
          <t>Tarjetas</t>
        </is>
      </c>
      <c r="C24" s="4" t="inlineStr">
        <is>
          <t>%</t>
        </is>
      </c>
      <c r="D24" s="4" t="inlineStr">
        <is>
          <t>Significado</t>
        </is>
      </c>
    </row>
    <row r="25" ht="22" customHeight="1">
      <c r="A25" s="5" t="inlineStr">
        <is>
          <t>SEC</t>
        </is>
      </c>
      <c r="B25" s="31" t="n">
        <v>8</v>
      </c>
      <c r="C25" s="9" t="n">
        <v>0.2285714285714286</v>
      </c>
      <c r="D25" s="12" t="inlineStr">
        <is>
          <t>Seguridad (SEC-*) — Rate-limit, autorización, validación MIME, message_reads.</t>
        </is>
      </c>
    </row>
    <row r="26" ht="22" customHeight="1">
      <c r="A26" s="5" t="inlineStr">
        <is>
          <t>ROL</t>
        </is>
      </c>
      <c r="B26" s="31" t="n">
        <v>3</v>
      </c>
      <c r="C26" s="9" t="n">
        <v>0.08571428571428572</v>
      </c>
      <c r="D26" s="12" t="inlineStr">
        <is>
          <t>Roles (ROL-*) — 4 roles canónicos, sidebar adaptado, canManageAnnouncements.</t>
        </is>
      </c>
    </row>
    <row r="27" ht="22" customHeight="1">
      <c r="A27" s="5" t="inlineStr">
        <is>
          <t>DOC</t>
        </is>
      </c>
      <c r="B27" s="31" t="n">
        <v>5</v>
      </c>
      <c r="C27" s="9" t="n">
        <v>0.1428571428571428</v>
      </c>
      <c r="D27" s="12" t="inlineStr">
        <is>
          <t>Documentación (DOC-*) — ARQ, ER, RF, HU, TRACEABILITY.</t>
        </is>
      </c>
    </row>
    <row r="28" ht="22" customHeight="1">
      <c r="A28" s="5" t="inlineStr">
        <is>
          <t>BRAND</t>
        </is>
      </c>
      <c r="B28" s="31" t="n">
        <v>10</v>
      </c>
      <c r="C28" s="9" t="n">
        <v>0.2857142857142857</v>
      </c>
      <c r="D28" s="12" t="inlineStr">
        <is>
          <t>Branding (BRAND-*) — Identidad visual, voice &amp; tone, microcopy.</t>
        </is>
      </c>
    </row>
    <row r="29" ht="22" customHeight="1">
      <c r="A29" s="5" t="inlineStr">
        <is>
          <t>UX</t>
        </is>
      </c>
      <c r="B29" s="31" t="n">
        <v>4</v>
      </c>
      <c r="C29" s="9" t="n">
        <v>0.1142857142857143</v>
      </c>
      <c r="D29" s="12" t="inlineStr">
        <is>
          <t>UX técnico (UX-*) — Accesibilidad WCAG, responsive, errores por campo.</t>
        </is>
      </c>
    </row>
    <row r="30" ht="22" customHeight="1">
      <c r="A30" s="5" t="inlineStr">
        <is>
          <t>EVI</t>
        </is>
      </c>
      <c r="B30" s="31" t="n">
        <v>5</v>
      </c>
      <c r="C30" s="9" t="n">
        <v>0.1428571428571428</v>
      </c>
      <c r="D30" s="12" t="inlineStr">
        <is>
          <t>Evidencia / Cierre (EVI-*) — Capturas Trello, acta usabilidad, entrega final.</t>
        </is>
      </c>
    </row>
    <row r="32">
      <c r="A32" s="3" t="inlineStr">
        <is>
          <t>Distribución por iteración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9" t="n"/>
    </row>
    <row r="33">
      <c r="A33" s="4" t="inlineStr">
        <is>
          <t>Iteración</t>
        </is>
      </c>
      <c r="B33" s="4" t="inlineStr">
        <is>
          <t>Tarjetas</t>
        </is>
      </c>
      <c r="C33" s="4" t="inlineStr">
        <is>
          <t>%</t>
        </is>
      </c>
      <c r="D33" s="4" t="inlineStr">
        <is>
          <t>Foco</t>
        </is>
      </c>
    </row>
    <row r="34" ht="22" customHeight="1">
      <c r="A34" s="5" t="inlineStr">
        <is>
          <t>Iter 0</t>
        </is>
      </c>
      <c r="B34" s="31" t="n">
        <v>1</v>
      </c>
      <c r="C34" s="9" t="n">
        <v>0.02857142857142857</v>
      </c>
      <c r="D34" s="12" t="inlineStr">
        <is>
          <t>Fundamentos (monorepo, auth base)</t>
        </is>
      </c>
    </row>
    <row r="35" ht="22" customHeight="1">
      <c r="A35" s="5" t="inlineStr">
        <is>
          <t>Iter 1</t>
        </is>
      </c>
      <c r="B35" s="31" t="n">
        <v>8</v>
      </c>
      <c r="C35" s="9" t="n">
        <v>0.2285714285714286</v>
      </c>
      <c r="D35" s="12" t="inlineStr">
        <is>
          <t>Seguridad y Roles (SEC-001..006, ROL-001..002)</t>
        </is>
      </c>
    </row>
    <row r="36" ht="22" customHeight="1">
      <c r="A36" s="5" t="inlineStr">
        <is>
          <t>Iter 2</t>
        </is>
      </c>
      <c r="B36" s="31" t="n">
        <v>2</v>
      </c>
      <c r="C36" s="9" t="n">
        <v>0.05714285714285714</v>
      </c>
      <c r="D36" s="12" t="inlineStr">
        <is>
          <t>Cobertura funcional + Sidebar por roles (ROL-003)</t>
        </is>
      </c>
    </row>
    <row r="37" ht="22" customHeight="1">
      <c r="A37" s="5" t="inlineStr">
        <is>
          <t>Iter 3</t>
        </is>
      </c>
      <c r="B37" s="31" t="n">
        <v>5</v>
      </c>
      <c r="C37" s="9" t="n">
        <v>0.1428571428571428</v>
      </c>
      <c r="D37" s="12" t="inlineStr">
        <is>
          <t>Documentación (DOC-001..005)</t>
        </is>
      </c>
    </row>
    <row r="38" ht="22" customHeight="1">
      <c r="A38" s="5" t="inlineStr">
        <is>
          <t>Iter 4</t>
        </is>
      </c>
      <c r="B38" s="31" t="n">
        <v>1</v>
      </c>
      <c r="C38" s="9" t="n">
        <v>0.02857142857142857</v>
      </c>
      <c r="D38" s="12" t="inlineStr">
        <is>
          <t>Evidencia (EVI-002)</t>
        </is>
      </c>
    </row>
    <row r="39" ht="22" customHeight="1">
      <c r="A39" s="5" t="inlineStr">
        <is>
          <t>Iter 5</t>
        </is>
      </c>
      <c r="B39" s="31" t="n">
        <v>14</v>
      </c>
      <c r="C39" s="9" t="n">
        <v>0.4</v>
      </c>
      <c r="D39" s="12" t="inlineStr">
        <is>
          <t>Branding + UX (BRAND-001..010, UX-001..004)</t>
        </is>
      </c>
    </row>
    <row r="40" ht="22" customHeight="1">
      <c r="A40" s="5" t="inlineStr">
        <is>
          <t>Iter 6</t>
        </is>
      </c>
      <c r="B40" s="31" t="n">
        <v>4</v>
      </c>
      <c r="C40" s="9" t="n">
        <v>0.1142857142857143</v>
      </c>
      <c r="D40" s="12" t="inlineStr">
        <is>
          <t>Cierre (EVI-001, EVI-004..006)</t>
        </is>
      </c>
    </row>
  </sheetData>
  <mergeCells count="6">
    <mergeCell ref="A2:L2"/>
    <mergeCell ref="A1:L1"/>
    <mergeCell ref="A23:L23"/>
    <mergeCell ref="A32:L32"/>
    <mergeCell ref="A17:L17"/>
    <mergeCell ref="A4:L4"/>
  </mergeCells>
  <conditionalFormatting sqref="C6:C40">
    <cfRule type="dataBar" priority="1">
      <dataBar showValue="1">
        <cfvo type="min"/>
        <cfvo type="max"/>
        <color rgb="005C8598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C8598"/>
    <outlinePr summaryBelow="1" summaryRight="1"/>
    <pageSetUpPr/>
  </sheetPr>
  <dimension ref="A1:L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16" customWidth="1" min="4" max="4"/>
    <col width="10" customWidth="1" min="5" max="5"/>
    <col width="9" customWidth="1" min="6" max="6"/>
    <col width="5" customWidth="1" min="7" max="7"/>
    <col width="10" customWidth="1" min="8" max="8"/>
    <col width="11" customWidth="1" min="9" max="9"/>
    <col width="50" customWidth="1" min="10" max="10"/>
    <col width="50" customWidth="1" min="11" max="11"/>
  </cols>
  <sheetData>
    <row r="1" ht="36" customHeight="1">
      <c r="A1" s="1" t="inlineStr">
        <is>
          <t>Backlog Completo</t>
        </is>
      </c>
    </row>
    <row r="2" ht="20" customHeight="1">
      <c r="A2" s="2" t="inlineStr">
        <is>
          <t>Lista priorizada de tarjetas · Orden por iteración, luego por ID</t>
        </is>
      </c>
    </row>
    <row r="5">
      <c r="A5" s="4" t="inlineStr">
        <is>
          <t>ID</t>
        </is>
      </c>
      <c r="B5" s="4" t="inlineStr">
        <is>
          <t>Épica</t>
        </is>
      </c>
      <c r="C5" s="4" t="inlineStr">
        <is>
          <t>Título</t>
        </is>
      </c>
      <c r="D5" s="4" t="inlineStr">
        <is>
          <t>Módulo</t>
        </is>
      </c>
      <c r="E5" s="4" t="inlineStr">
        <is>
          <t>Iteración</t>
        </is>
      </c>
      <c r="F5" s="4" t="inlineStr">
        <is>
          <t>Prioridad</t>
        </is>
      </c>
      <c r="G5" s="4" t="inlineStr">
        <is>
          <t>Est.</t>
        </is>
      </c>
      <c r="H5" s="4" t="inlineStr">
        <is>
          <t>Owner</t>
        </is>
      </c>
      <c r="I5" s="4" t="inlineStr">
        <is>
          <t>Estado</t>
        </is>
      </c>
      <c r="J5" s="4" t="inlineStr">
        <is>
          <t>Descripción</t>
        </is>
      </c>
      <c r="K5" s="4" t="inlineStr">
        <is>
          <t>Criterios de aceptación</t>
        </is>
      </c>
    </row>
    <row r="6" ht="56" customHeight="1">
      <c r="A6" s="13" t="inlineStr">
        <is>
          <t>SEC-000</t>
        </is>
      </c>
      <c r="B6" s="14" t="inlineStr">
        <is>
          <t>SEC</t>
        </is>
      </c>
      <c r="C6" s="15" t="inlineStr">
        <is>
          <t>Setup monorepo Laravel 13 + Next.js 16</t>
        </is>
      </c>
      <c r="D6" s="15" t="inlineStr">
        <is>
          <t>Infraestructura</t>
        </is>
      </c>
      <c r="E6" s="16" t="inlineStr">
        <is>
          <t>Iter 0</t>
        </is>
      </c>
      <c r="F6" s="17" t="inlineStr">
        <is>
          <t>Alta</t>
        </is>
      </c>
      <c r="G6" s="18" t="inlineStr">
        <is>
          <t>M</t>
        </is>
      </c>
      <c r="H6" s="18" t="inlineStr">
        <is>
          <t>Ambos</t>
        </is>
      </c>
      <c r="I6" s="19" t="inlineStr">
        <is>
          <t>Hecho</t>
        </is>
      </c>
      <c r="J6" s="20" t="inlineStr">
        <is>
          <t>Inicializar monorepo con backend/ y frontend/, configurar composer + npm, .env.example, scripts de arranque.</t>
        </is>
      </c>
      <c r="K6" s="20" t="inlineStr">
        <is>
          <t>Backend compila, frontend arranca, CORS configurado, ambos comparten .env</t>
        </is>
      </c>
    </row>
    <row r="7" ht="56" customHeight="1">
      <c r="A7" s="5" t="inlineStr">
        <is>
          <t>ROL-001</t>
        </is>
      </c>
      <c r="B7" s="21" t="inlineStr">
        <is>
          <t>ROL</t>
        </is>
      </c>
      <c r="C7" s="12" t="inlineStr">
        <is>
          <t>Modelar 4 roles canónicos</t>
        </is>
      </c>
      <c r="D7" s="12" t="inlineStr">
        <is>
          <t>Roles</t>
        </is>
      </c>
      <c r="E7" s="22" t="inlineStr">
        <is>
          <t>Iter 1</t>
        </is>
      </c>
      <c r="F7" s="23" t="inlineStr">
        <is>
          <t>Alta</t>
        </is>
      </c>
      <c r="G7" s="8" t="inlineStr">
        <is>
          <t>M</t>
        </is>
      </c>
      <c r="H7" s="8" t="inlineStr">
        <is>
          <t>Benjamín</t>
        </is>
      </c>
      <c r="I7" s="24" t="inlineStr">
        <is>
          <t>En curso</t>
        </is>
      </c>
      <c r="J7" s="25" t="inlineStr">
        <is>
          <t>Seeder con 4 roles: Administrador, Líder, Colaborador, Nuevo Ingreso. Flags es_lider + onboarding_pendiente en users.</t>
        </is>
      </c>
      <c r="K7" s="25" t="inlineStr">
        <is>
          <t>4 roles sembrados, users con flags por defecto correctos</t>
        </is>
      </c>
    </row>
    <row r="8" ht="56" customHeight="1">
      <c r="A8" s="5" t="inlineStr">
        <is>
          <t>ROL-002</t>
        </is>
      </c>
      <c r="B8" s="21" t="inlineStr">
        <is>
          <t>ROL</t>
        </is>
      </c>
      <c r="C8" s="12" t="inlineStr">
        <is>
          <t>Refactor User::canManageAnnouncements()</t>
        </is>
      </c>
      <c r="D8" s="12" t="inlineStr">
        <is>
          <t>Auth</t>
        </is>
      </c>
      <c r="E8" s="22" t="inlineStr">
        <is>
          <t>Iter 1</t>
        </is>
      </c>
      <c r="F8" s="23" t="inlineStr">
        <is>
          <t>Alta</t>
        </is>
      </c>
      <c r="G8" s="8" t="inlineStr">
        <is>
          <t>S</t>
        </is>
      </c>
      <c r="H8" s="8" t="inlineStr">
        <is>
          <t>Benjamín</t>
        </is>
      </c>
      <c r="I8" s="24" t="inlineStr">
        <is>
          <t>En curso</t>
        </is>
      </c>
      <c r="J8" s="25" t="inlineStr">
        <is>
          <t>Método centralizado por rol. Constantes Role::ROLES_QUE_PUEDEN_PUBLICAR y ADMINISTRAR. Tests que cubran los 4 roles.</t>
        </is>
      </c>
      <c r="K8" s="25" t="inlineStr">
        <is>
          <t>8 tests verde cubriendo cada rol + combinaciones</t>
        </is>
      </c>
    </row>
    <row r="9" ht="56" customHeight="1">
      <c r="A9" s="5" t="inlineStr">
        <is>
          <t>SEC-001</t>
        </is>
      </c>
      <c r="B9" s="21" t="inlineStr">
        <is>
          <t>SEC</t>
        </is>
      </c>
      <c r="C9" s="12" t="inlineStr">
        <is>
          <t>Rate-limit en login (5/min)</t>
        </is>
      </c>
      <c r="D9" s="12" t="inlineStr">
        <is>
          <t>Auth</t>
        </is>
      </c>
      <c r="E9" s="22" t="inlineStr">
        <is>
          <t>Iter 1</t>
        </is>
      </c>
      <c r="F9" s="23" t="inlineStr">
        <is>
          <t>Alta</t>
        </is>
      </c>
      <c r="G9" s="8" t="inlineStr">
        <is>
          <t>S</t>
        </is>
      </c>
      <c r="H9" s="8" t="inlineStr">
        <is>
          <t>Benjamín</t>
        </is>
      </c>
      <c r="I9" s="24" t="inlineStr">
        <is>
          <t>En curso</t>
        </is>
      </c>
      <c r="J9" s="25" t="inlineStr">
        <is>
          <t>Throttle 5 intentos/min por IP+email en POST /api/login con respuesta 429.</t>
        </is>
      </c>
      <c r="K9" s="25" t="inlineStr">
        <is>
          <t>Throttle 5/min activo, 429 con retry_after, no afecta login correcto</t>
        </is>
      </c>
    </row>
    <row r="10" ht="56" customHeight="1">
      <c r="A10" s="5" t="inlineStr">
        <is>
          <t>SEC-002</t>
        </is>
      </c>
      <c r="B10" s="21" t="inlineStr">
        <is>
          <t>SEC</t>
        </is>
      </c>
      <c r="C10" s="12" t="inlineStr">
        <is>
          <t>Middleware admin en UserController</t>
        </is>
      </c>
      <c r="D10" s="12" t="inlineStr">
        <is>
          <t>Usuarios</t>
        </is>
      </c>
      <c r="E10" s="22" t="inlineStr">
        <is>
          <t>Iter 1</t>
        </is>
      </c>
      <c r="F10" s="23" t="inlineStr">
        <is>
          <t>Alta</t>
        </is>
      </c>
      <c r="G10" s="8" t="inlineStr">
        <is>
          <t>S</t>
        </is>
      </c>
      <c r="H10" s="8" t="inlineStr">
        <is>
          <t>Benjamín</t>
        </is>
      </c>
      <c r="I10" s="24" t="inlineStr">
        <is>
          <t>En curso</t>
        </is>
      </c>
      <c r="J10" s="25" t="inlineStr">
        <is>
          <t>Middleware admin en Route::apiResource(users) — solo admin ve/crea/edita/elimina usuarios.</t>
        </is>
      </c>
      <c r="K10" s="25" t="inlineStr">
        <is>
          <t>No-admin recibe 403 en users, admin recibe 200/201/204</t>
        </is>
      </c>
    </row>
    <row r="11" ht="56" customHeight="1">
      <c r="A11" s="5" t="inlineStr">
        <is>
          <t>SEC-003</t>
        </is>
      </c>
      <c r="B11" s="21" t="inlineStr">
        <is>
          <t>SEC</t>
        </is>
      </c>
      <c r="C11" s="12" t="inlineStr">
        <is>
          <t>Middleware admin en DepartmentController</t>
        </is>
      </c>
      <c r="D11" s="12" t="inlineStr">
        <is>
          <t>Departamentos</t>
        </is>
      </c>
      <c r="E11" s="22" t="inlineStr">
        <is>
          <t>Iter 1</t>
        </is>
      </c>
      <c r="F11" s="23" t="inlineStr">
        <is>
          <t>Alta</t>
        </is>
      </c>
      <c r="G11" s="8" t="inlineStr">
        <is>
          <t>S</t>
        </is>
      </c>
      <c r="H11" s="8" t="inlineStr">
        <is>
          <t>Benjamín</t>
        </is>
      </c>
      <c r="I11" s="24" t="inlineStr">
        <is>
          <t>En curso</t>
        </is>
      </c>
      <c r="J11" s="25" t="inlineStr">
        <is>
          <t>Middleware admin en rutas de escritura de DepartmentController; lectura abierta.</t>
        </is>
      </c>
      <c r="K11" s="25" t="inlineStr">
        <is>
          <t>Leader recibe 403 en POST, colaborador 403 en DELETE</t>
        </is>
      </c>
    </row>
    <row r="12" ht="56" customHeight="1">
      <c r="A12" s="5" t="inlineStr">
        <is>
          <t>SEC-004</t>
        </is>
      </c>
      <c r="B12" s="21" t="inlineStr">
        <is>
          <t>SEC</t>
        </is>
      </c>
      <c r="C12" s="12" t="inlineStr">
        <is>
          <t>Middleware admin en RoleController</t>
        </is>
      </c>
      <c r="D12" s="12" t="inlineStr">
        <is>
          <t>Roles</t>
        </is>
      </c>
      <c r="E12" s="22" t="inlineStr">
        <is>
          <t>Iter 1</t>
        </is>
      </c>
      <c r="F12" s="23" t="inlineStr">
        <is>
          <t>Alta</t>
        </is>
      </c>
      <c r="G12" s="8" t="inlineStr">
        <is>
          <t>S</t>
        </is>
      </c>
      <c r="H12" s="8" t="inlineStr">
        <is>
          <t>Benjamín</t>
        </is>
      </c>
      <c r="I12" s="24" t="inlineStr">
        <is>
          <t>En curso</t>
        </is>
      </c>
      <c r="J12" s="25" t="inlineStr">
        <is>
          <t>Middleware admin en store/update/destroy de RoleController; index/show abiertos.</t>
        </is>
      </c>
      <c r="K12" s="25" t="inlineStr">
        <is>
          <t>No-admin no puede crear/modificar roles; lectura abierta</t>
        </is>
      </c>
    </row>
    <row r="13" ht="56" customHeight="1">
      <c r="A13" s="5" t="inlineStr">
        <is>
          <t>SEC-005</t>
        </is>
      </c>
      <c r="B13" s="21" t="inlineStr">
        <is>
          <t>SEC</t>
        </is>
      </c>
      <c r="C13" s="12" t="inlineStr">
        <is>
          <t>DocumentPolicy (admin o dueno)</t>
        </is>
      </c>
      <c r="D13" s="12" t="inlineStr">
        <is>
          <t>Documentos</t>
        </is>
      </c>
      <c r="E13" s="22" t="inlineStr">
        <is>
          <t>Iter 1</t>
        </is>
      </c>
      <c r="F13" s="23" t="inlineStr">
        <is>
          <t>Alta</t>
        </is>
      </c>
      <c r="G13" s="8" t="inlineStr">
        <is>
          <t>M</t>
        </is>
      </c>
      <c r="H13" s="8" t="inlineStr">
        <is>
          <t>Benjamín</t>
        </is>
      </c>
      <c r="I13" s="24" t="inlineStr">
        <is>
          <t>En curso</t>
        </is>
      </c>
      <c r="J13" s="25" t="inlineStr">
        <is>
          <t>Policy para Document con canAccess() y canMutate(): admin todo, dueno muta, public lee, department filtra por carpeta.</t>
        </is>
      </c>
      <c r="K13" s="25" t="inlineStr">
        <is>
          <t>Owner puede borrar el suyo, admin cualquier doc, otros reciben 403</t>
        </is>
      </c>
    </row>
    <row r="14" ht="56" customHeight="1">
      <c r="A14" s="5" t="inlineStr">
        <is>
          <t>SEC-006</t>
        </is>
      </c>
      <c r="B14" s="21" t="inlineStr">
        <is>
          <t>SEC</t>
        </is>
      </c>
      <c r="C14" s="12" t="inlineStr">
        <is>
          <t>Validar MIME real en uploads</t>
        </is>
      </c>
      <c r="D14" s="12" t="inlineStr">
        <is>
          <t>Documentos</t>
        </is>
      </c>
      <c r="E14" s="22" t="inlineStr">
        <is>
          <t>Iter 1</t>
        </is>
      </c>
      <c r="F14" s="23" t="inlineStr">
        <is>
          <t>Alta</t>
        </is>
      </c>
      <c r="G14" s="8" t="inlineStr">
        <is>
          <t>M</t>
        </is>
      </c>
      <c r="H14" s="8" t="inlineStr">
        <is>
          <t>Benjamín</t>
        </is>
      </c>
      <c r="I14" s="24" t="inlineStr">
        <is>
          <t>En curso</t>
        </is>
      </c>
      <c r="J14" s="25" t="inlineStr">
        <is>
          <t>Usar File::mimes() y guessExtension() en StoreDocumentRequest/StoreAnnouncementRequest/MessageController. Rechazo 415 si MIME no coincide.</t>
        </is>
      </c>
      <c r="K14" s="25" t="inlineStr">
        <is>
          <t>Upload con extension cambiada devuelve 415 con mensaje claro</t>
        </is>
      </c>
    </row>
    <row r="15" ht="56" customHeight="1">
      <c r="A15" s="5" t="inlineStr">
        <is>
          <t>ROL-003</t>
        </is>
      </c>
      <c r="B15" s="21" t="inlineStr">
        <is>
          <t>ROL</t>
        </is>
      </c>
      <c r="C15" s="12" t="inlineStr">
        <is>
          <t>Sidebar por 4 roles</t>
        </is>
      </c>
      <c r="D15" s="12" t="inlineStr">
        <is>
          <t>Frontend</t>
        </is>
      </c>
      <c r="E15" s="22" t="inlineStr">
        <is>
          <t>Iter 2</t>
        </is>
      </c>
      <c r="F15" s="23" t="inlineStr">
        <is>
          <t>Alta</t>
        </is>
      </c>
      <c r="G15" s="8" t="inlineStr">
        <is>
          <t>M</t>
        </is>
      </c>
      <c r="H15" s="8" t="inlineStr">
        <is>
          <t>Julián</t>
        </is>
      </c>
      <c r="I15" s="26" t="inlineStr">
        <is>
          <t>Pendiente</t>
        </is>
      </c>
      <c r="J15" s="25" t="inlineStr">
        <is>
          <t>Sidebar adaptado: Nuevo Ingreso ve Panel Novedades destacado, Líder ve Tareas, Admin ve Departamentos/Usuarios, Colaborador solo lectura.</t>
        </is>
      </c>
      <c r="K15" s="25" t="inlineStr">
        <is>
          <t>4 variantes de sidebar verificadas</t>
        </is>
      </c>
    </row>
    <row r="16" ht="56" customHeight="1">
      <c r="A16" s="5" t="inlineStr">
        <is>
          <t>SEC-007</t>
        </is>
      </c>
      <c r="B16" s="21" t="inlineStr">
        <is>
          <t>SEC</t>
        </is>
      </c>
      <c r="C16" s="12" t="inlineStr">
        <is>
          <t>Conectar tabla message_reads</t>
        </is>
      </c>
      <c r="D16" s="12" t="inlineStr">
        <is>
          <t>Chat</t>
        </is>
      </c>
      <c r="E16" s="22" t="inlineStr">
        <is>
          <t>Iter 2</t>
        </is>
      </c>
      <c r="F16" s="24" t="inlineStr">
        <is>
          <t>Media</t>
        </is>
      </c>
      <c r="G16" s="8" t="inlineStr">
        <is>
          <t>M</t>
        </is>
      </c>
      <c r="H16" s="8" t="inlineStr">
        <is>
          <t>Benjamín</t>
        </is>
      </c>
      <c r="I16" s="24" t="inlineStr">
        <is>
          <t>En curso</t>
        </is>
      </c>
      <c r="J16" s="25" t="inlineStr">
        <is>
          <t>Tabla message_reads existe pero sin uso. Al abrir conversación se registra read_at. Contador de no leídos desde BD.</t>
        </is>
      </c>
      <c r="K16" s="25" t="inlineStr">
        <is>
          <t>ConversationController::index incluye unread_count desde BD</t>
        </is>
      </c>
    </row>
    <row r="17" ht="56" customHeight="1">
      <c r="A17" s="5" t="inlineStr">
        <is>
          <t>DOC-001</t>
        </is>
      </c>
      <c r="B17" s="21" t="inlineStr">
        <is>
          <t>DOC</t>
        </is>
      </c>
      <c r="C17" s="12" t="inlineStr">
        <is>
          <t>Diagrama de arquitectura (Markdown)</t>
        </is>
      </c>
      <c r="D17" s="12" t="inlineStr">
        <is>
          <t>Docs</t>
        </is>
      </c>
      <c r="E17" s="22" t="inlineStr">
        <is>
          <t>Iter 3</t>
        </is>
      </c>
      <c r="F17" s="24" t="inlineStr">
        <is>
          <t>Media</t>
        </is>
      </c>
      <c r="G17" s="8" t="inlineStr">
        <is>
          <t>S</t>
        </is>
      </c>
      <c r="H17" s="8" t="inlineStr">
        <is>
          <t>Benjamín</t>
        </is>
      </c>
      <c r="I17" s="26" t="inlineStr">
        <is>
          <t>Pendiente</t>
        </is>
      </c>
      <c r="J17" s="25" t="inlineStr">
        <is>
          <t>docs/ARCHITECTURE.md con 4+1 vistas y decisiones DD-1 a DD-7.</t>
        </is>
      </c>
      <c r="K17" s="25" t="inlineStr">
        <is>
          <t>Doc completo, &gt; 30 secciones, referenciado en otros docs</t>
        </is>
      </c>
    </row>
    <row r="18" ht="56" customHeight="1">
      <c r="A18" s="5" t="inlineStr">
        <is>
          <t>DOC-002</t>
        </is>
      </c>
      <c r="B18" s="21" t="inlineStr">
        <is>
          <t>DOC</t>
        </is>
      </c>
      <c r="C18" s="12" t="inlineStr">
        <is>
          <t>Diagrama ER de la BD</t>
        </is>
      </c>
      <c r="D18" s="12" t="inlineStr">
        <is>
          <t>Docs</t>
        </is>
      </c>
      <c r="E18" s="22" t="inlineStr">
        <is>
          <t>Iter 3</t>
        </is>
      </c>
      <c r="F18" s="24" t="inlineStr">
        <is>
          <t>Media</t>
        </is>
      </c>
      <c r="G18" s="8" t="inlineStr">
        <is>
          <t>S</t>
        </is>
      </c>
      <c r="H18" s="8" t="inlineStr">
        <is>
          <t>Benjamín</t>
        </is>
      </c>
      <c r="I18" s="26" t="inlineStr">
        <is>
          <t>Pendiente</t>
        </is>
      </c>
      <c r="J18" s="25" t="inlineStr">
        <is>
          <t>docs/DATABASE.md con diagrama Mermaid + tipos + relaciones de las 16 tablas.</t>
        </is>
      </c>
      <c r="K18" s="25" t="inlineStr">
        <is>
          <t>ER actualizado, tipos y FKs documentados</t>
        </is>
      </c>
    </row>
    <row r="19" ht="56" customHeight="1">
      <c r="A19" s="5" t="inlineStr">
        <is>
          <t>DOC-003</t>
        </is>
      </c>
      <c r="B19" s="21" t="inlineStr">
        <is>
          <t>DOC</t>
        </is>
      </c>
      <c r="C19" s="12" t="inlineStr">
        <is>
          <t>Documento de RF y RNF</t>
        </is>
      </c>
      <c r="D19" s="12" t="inlineStr">
        <is>
          <t>Docs</t>
        </is>
      </c>
      <c r="E19" s="22" t="inlineStr">
        <is>
          <t>Iter 3</t>
        </is>
      </c>
      <c r="F19" s="24" t="inlineStr">
        <is>
          <t>Media</t>
        </is>
      </c>
      <c r="G19" s="8" t="inlineStr">
        <is>
          <t>M</t>
        </is>
      </c>
      <c r="H19" s="8" t="inlineStr">
        <is>
          <t>Benjamín</t>
        </is>
      </c>
      <c r="I19" s="26" t="inlineStr">
        <is>
          <t>Pendiente</t>
        </is>
      </c>
      <c r="J19" s="25" t="inlineStr">
        <is>
          <t>docs/REQUIREMENTS.md con RF-001..RF-NN por módulo + RNF de seguridad, rendimiento, accesibilidad, mantenibilidad.</t>
        </is>
      </c>
      <c r="K19" s="25" t="inlineStr">
        <is>
          <t>RF por módulo + 4 categorías de RNF</t>
        </is>
      </c>
    </row>
    <row r="20" ht="56" customHeight="1">
      <c r="A20" s="5" t="inlineStr">
        <is>
          <t>DOC-004</t>
        </is>
      </c>
      <c r="B20" s="21" t="inlineStr">
        <is>
          <t>DOC</t>
        </is>
      </c>
      <c r="C20" s="12" t="inlineStr">
        <is>
          <t>Historias de usuario</t>
        </is>
      </c>
      <c r="D20" s="12" t="inlineStr">
        <is>
          <t>Docs</t>
        </is>
      </c>
      <c r="E20" s="22" t="inlineStr">
        <is>
          <t>Iter 3</t>
        </is>
      </c>
      <c r="F20" s="24" t="inlineStr">
        <is>
          <t>Media</t>
        </is>
      </c>
      <c r="G20" s="8" t="inlineStr">
        <is>
          <t>M</t>
        </is>
      </c>
      <c r="H20" s="8" t="inlineStr">
        <is>
          <t>Julián</t>
        </is>
      </c>
      <c r="I20" s="26" t="inlineStr">
        <is>
          <t>Pendiente</t>
        </is>
      </c>
      <c r="J20" s="25" t="inlineStr">
        <is>
          <t>docs/USER_STORIES.md con 12+ historias formato Como…quiero…para…, 3+ por rol.</t>
        </is>
      </c>
      <c r="K20" s="25" t="inlineStr">
        <is>
          <t>12+ HU con RF referenciado y criterios de aceptación</t>
        </is>
      </c>
    </row>
    <row r="21" ht="56" customHeight="1">
      <c r="A21" s="5" t="inlineStr">
        <is>
          <t>DOC-005</t>
        </is>
      </c>
      <c r="B21" s="21" t="inlineStr">
        <is>
          <t>DOC</t>
        </is>
      </c>
      <c r="C21" s="12" t="inlineStr">
        <is>
          <t>Matriz de trazabilidad</t>
        </is>
      </c>
      <c r="D21" s="12" t="inlineStr">
        <is>
          <t>Docs</t>
        </is>
      </c>
      <c r="E21" s="22" t="inlineStr">
        <is>
          <t>Iter 3</t>
        </is>
      </c>
      <c r="F21" s="24" t="inlineStr">
        <is>
          <t>Media</t>
        </is>
      </c>
      <c r="G21" s="8" t="inlineStr">
        <is>
          <t>M</t>
        </is>
      </c>
      <c r="H21" s="8" t="inlineStr">
        <is>
          <t>Ambos</t>
        </is>
      </c>
      <c r="I21" s="26" t="inlineStr">
        <is>
          <t>Pendiente</t>
        </is>
      </c>
      <c r="J21" s="25" t="inlineStr">
        <is>
          <t>docs/TRACEABILITY.md une cada problema PPT con RF, HU, funcionalidad y test PHPUnit.</t>
        </is>
      </c>
      <c r="K21" s="25" t="inlineStr">
        <is>
          <t>Matriz completa problema → RF → HU → Test verde</t>
        </is>
      </c>
    </row>
    <row r="22" ht="56" customHeight="1">
      <c r="A22" s="5" t="inlineStr">
        <is>
          <t>EVI-002</t>
        </is>
      </c>
      <c r="B22" s="21" t="inlineStr">
        <is>
          <t>EVI</t>
        </is>
      </c>
      <c r="C22" s="12" t="inlineStr">
        <is>
          <t>Acta de pruebas con usuarios</t>
        </is>
      </c>
      <c r="D22" s="12" t="inlineStr">
        <is>
          <t>Evidencia</t>
        </is>
      </c>
      <c r="E22" s="22" t="inlineStr">
        <is>
          <t>Iter 4</t>
        </is>
      </c>
      <c r="F22" s="24" t="inlineStr">
        <is>
          <t>Media</t>
        </is>
      </c>
      <c r="G22" s="8" t="inlineStr">
        <is>
          <t>M</t>
        </is>
      </c>
      <c r="H22" s="8" t="inlineStr">
        <is>
          <t>Ambos</t>
        </is>
      </c>
      <c r="I22" s="26" t="inlineStr">
        <is>
          <t>Pendiente</t>
        </is>
      </c>
      <c r="J22" s="25" t="inlineStr">
        <is>
          <t>Acta de usabilidad con N usuarios pilotos en docs/evidence/usability-test.md.</t>
        </is>
      </c>
      <c r="K22" s="25" t="inlineStr">
        <is>
          <t>Acta firmada con métricas NSM reportadas</t>
        </is>
      </c>
    </row>
    <row r="23" ht="56" customHeight="1">
      <c r="A23" s="5" t="inlineStr">
        <is>
          <t>BRAND-001</t>
        </is>
      </c>
      <c r="B23" s="21" t="inlineStr">
        <is>
          <t>BRAND</t>
        </is>
      </c>
      <c r="C23" s="12" t="inlineStr">
        <is>
          <t>Wordmark + isotipo + tagline Coherev</t>
        </is>
      </c>
      <c r="D23" s="12" t="inlineStr">
        <is>
          <t>Identidad</t>
        </is>
      </c>
      <c r="E23" s="22" t="inlineStr">
        <is>
          <t>Iter 5</t>
        </is>
      </c>
      <c r="F23" s="23" t="inlineStr">
        <is>
          <t>Alta</t>
        </is>
      </c>
      <c r="G23" s="8" t="inlineStr">
        <is>
          <t>S</t>
        </is>
      </c>
      <c r="H23" s="8" t="inlineStr">
        <is>
          <t>Julián</t>
        </is>
      </c>
      <c r="I23" s="26" t="inlineStr">
        <is>
          <t>Pendiente</t>
        </is>
      </c>
      <c r="J23" s="25" t="inlineStr">
        <is>
          <t>Wordmark Coherev en SVG/PNG, isotipo cuadrado para favicon/sidebar, tagline corto (ej: Conecta. Coherencia. Equipo.).</t>
        </is>
      </c>
      <c r="K23" s="25" t="inlineStr">
        <is>
          <t>Logo + isotipo + tagline listos</t>
        </is>
      </c>
    </row>
    <row r="24" ht="56" customHeight="1">
      <c r="A24" s="5" t="inlineStr">
        <is>
          <t>BRAND-002</t>
        </is>
      </c>
      <c r="B24" s="21" t="inlineStr">
        <is>
          <t>BRAND</t>
        </is>
      </c>
      <c r="C24" s="12" t="inlineStr">
        <is>
          <t>Refinar tokens CSS (mantener paleta)</t>
        </is>
      </c>
      <c r="D24" s="12" t="inlineStr">
        <is>
          <t>Identidad</t>
        </is>
      </c>
      <c r="E24" s="22" t="inlineStr">
        <is>
          <t>Iter 5</t>
        </is>
      </c>
      <c r="F24" s="23" t="inlineStr">
        <is>
          <t>Alta</t>
        </is>
      </c>
      <c r="G24" s="8" t="inlineStr">
        <is>
          <t>S</t>
        </is>
      </c>
      <c r="H24" s="8" t="inlineStr">
        <is>
          <t>Julián</t>
        </is>
      </c>
      <c r="I24" s="26" t="inlineStr">
        <is>
          <t>Pendiente</t>
        </is>
      </c>
      <c r="J24" s="25" t="inlineStr">
        <is>
          <t>Mantener paleta actual. Renombrar a brand-* (brand-primary, brand-accent, etc). Mapear en tailwind.config.</t>
        </is>
      </c>
      <c r="K24" s="25" t="inlineStr">
        <is>
          <t>Tokens brand-* en uso, retrocompatible con intra-*</t>
        </is>
      </c>
    </row>
    <row r="25" ht="56" customHeight="1">
      <c r="A25" s="5" t="inlineStr">
        <is>
          <t>BRAND-003</t>
        </is>
      </c>
      <c r="B25" s="21" t="inlineStr">
        <is>
          <t>BRAND</t>
        </is>
      </c>
      <c r="C25" s="12" t="inlineStr">
        <is>
          <t>Rebranding del login</t>
        </is>
      </c>
      <c r="D25" s="12" t="inlineStr">
        <is>
          <t>Auth UI</t>
        </is>
      </c>
      <c r="E25" s="22" t="inlineStr">
        <is>
          <t>Iter 5</t>
        </is>
      </c>
      <c r="F25" s="23" t="inlineStr">
        <is>
          <t>Alta</t>
        </is>
      </c>
      <c r="G25" s="8" t="inlineStr">
        <is>
          <t>M</t>
        </is>
      </c>
      <c r="H25" s="8" t="inlineStr">
        <is>
          <t>Julián</t>
        </is>
      </c>
      <c r="I25" s="26" t="inlineStr">
        <is>
          <t>Pendiente</t>
        </is>
      </c>
      <c r="J25" s="25" t="inlineStr">
        <is>
          <t>Reemplazar pill Intranet Corporativa por wordmark Coherev. Botón: Entrar a Coherev.</t>
        </is>
      </c>
      <c r="K25" s="25" t="inlineStr">
        <is>
          <t>Login con marca Coherev, copy actualizado</t>
        </is>
      </c>
    </row>
    <row r="26" ht="56" customHeight="1">
      <c r="A26" s="5" t="inlineStr">
        <is>
          <t>BRAND-004</t>
        </is>
      </c>
      <c r="B26" s="21" t="inlineStr">
        <is>
          <t>BRAND</t>
        </is>
      </c>
      <c r="C26" s="12" t="inlineStr">
        <is>
          <t>Rebranding del sidebar</t>
        </is>
      </c>
      <c r="D26" s="12" t="inlineStr">
        <is>
          <t>Navegación</t>
        </is>
      </c>
      <c r="E26" s="22" t="inlineStr">
        <is>
          <t>Iter 5</t>
        </is>
      </c>
      <c r="F26" s="23" t="inlineStr">
        <is>
          <t>Alta</t>
        </is>
      </c>
      <c r="G26" s="8" t="inlineStr">
        <is>
          <t>S</t>
        </is>
      </c>
      <c r="H26" s="8" t="inlineStr">
        <is>
          <t>Julián</t>
        </is>
      </c>
      <c r="I26" s="26" t="inlineStr">
        <is>
          <t>Pendiente</t>
        </is>
      </c>
      <c r="J26" s="25" t="inlineStr">
        <is>
          <t>Brand-area: wordmark + isotipo + subtítulo Panel interno. Pill de rol con etiqueta (admin → Administrador Coherev).</t>
        </is>
      </c>
      <c r="K26" s="25" t="inlineStr">
        <is>
          <t>Sidebar con marca Coherev</t>
        </is>
      </c>
    </row>
    <row r="27" ht="56" customHeight="1">
      <c r="A27" s="5" t="inlineStr">
        <is>
          <t>BRAND-005</t>
        </is>
      </c>
      <c r="B27" s="21" t="inlineStr">
        <is>
          <t>BRAND</t>
        </is>
      </c>
      <c r="C27" s="12" t="inlineStr">
        <is>
          <t>Rebranding del dashboard (Inicio)</t>
        </is>
      </c>
      <c r="D27" s="12" t="inlineStr">
        <is>
          <t>Dashboard</t>
        </is>
      </c>
      <c r="E27" s="22" t="inlineStr">
        <is>
          <t>Iter 5</t>
        </is>
      </c>
      <c r="F27" s="23" t="inlineStr">
        <is>
          <t>Alta</t>
        </is>
      </c>
      <c r="G27" s="8" t="inlineStr">
        <is>
          <t>S</t>
        </is>
      </c>
      <c r="H27" s="8" t="inlineStr">
        <is>
          <t>Julián</t>
        </is>
      </c>
      <c r="I27" s="26" t="inlineStr">
        <is>
          <t>Pendiente</t>
        </is>
      </c>
      <c r="J27" s="25" t="inlineStr">
        <is>
          <t>Eyebrow Coherev + h2 con copy de marca. Empty state con copy Coherev.</t>
        </is>
      </c>
      <c r="K27" s="25" t="inlineStr">
        <is>
          <t>Dashboard con marca Coherev</t>
        </is>
      </c>
    </row>
    <row r="28" ht="56" customHeight="1">
      <c r="A28" s="5" t="inlineStr">
        <is>
          <t>BRAND-006</t>
        </is>
      </c>
      <c r="B28" s="21" t="inlineStr">
        <is>
          <t>BRAND</t>
        </is>
      </c>
      <c r="C28" s="12" t="inlineStr">
        <is>
          <t>Rebranding de páginas internas</t>
        </is>
      </c>
      <c r="D28" s="12" t="inlineStr">
        <is>
          <t>Páginas internas</t>
        </is>
      </c>
      <c r="E28" s="22" t="inlineStr">
        <is>
          <t>Iter 5</t>
        </is>
      </c>
      <c r="F28" s="23" t="inlineStr">
        <is>
          <t>Alta</t>
        </is>
      </c>
      <c r="G28" s="8" t="inlineStr">
        <is>
          <t>M</t>
        </is>
      </c>
      <c r="H28" s="8" t="inlineStr">
        <is>
          <t>Julián</t>
        </is>
      </c>
      <c r="I28" s="26" t="inlineStr">
        <is>
          <t>Pendiente</t>
        </is>
      </c>
      <c r="J28" s="25" t="inlineStr">
        <is>
          <t>Headers consistentes, botones primarios con verbo + marca, empty states unificados.</t>
        </is>
      </c>
      <c r="K28" s="25" t="inlineStr">
        <is>
          <t>Todas las páginas internas con marca Coherev</t>
        </is>
      </c>
    </row>
    <row r="29" ht="56" customHeight="1">
      <c r="A29" s="5" t="inlineStr">
        <is>
          <t>BRAND-007</t>
        </is>
      </c>
      <c r="B29" s="21" t="inlineStr">
        <is>
          <t>BRAND</t>
        </is>
      </c>
      <c r="C29" s="12" t="inlineStr">
        <is>
          <t>Voice &amp; tone Coherev + microcopy</t>
        </is>
      </c>
      <c r="D29" s="12" t="inlineStr">
        <is>
          <t>Contenido</t>
        </is>
      </c>
      <c r="E29" s="22" t="inlineStr">
        <is>
          <t>Iter 5</t>
        </is>
      </c>
      <c r="F29" s="24" t="inlineStr">
        <is>
          <t>Media</t>
        </is>
      </c>
      <c r="G29" s="8" t="inlineStr">
        <is>
          <t>M</t>
        </is>
      </c>
      <c r="H29" s="8" t="inlineStr">
        <is>
          <t>Julián</t>
        </is>
      </c>
      <c r="I29" s="26" t="inlineStr">
        <is>
          <t>Pendiente</t>
        </is>
      </c>
      <c r="J29" s="25" t="inlineStr">
        <is>
          <t>1 página de voice &amp; tone. Glosario de términos. Reescribir mensajes 4xx/5xx y confirmaciones destructivas.</t>
        </is>
      </c>
      <c r="K29" s="25" t="inlineStr">
        <is>
          <t>Voice &amp; tone Coherev aplicado en toda la UI</t>
        </is>
      </c>
    </row>
    <row r="30" ht="56" customHeight="1">
      <c r="A30" s="5" t="inlineStr">
        <is>
          <t>BRAND-008</t>
        </is>
      </c>
      <c r="B30" s="21" t="inlineStr">
        <is>
          <t>BRAND</t>
        </is>
      </c>
      <c r="C30" s="12" t="inlineStr">
        <is>
          <t>Onboarding tour con marca</t>
        </is>
      </c>
      <c r="D30" s="12" t="inlineStr">
        <is>
          <t>Onboarding</t>
        </is>
      </c>
      <c r="E30" s="22" t="inlineStr">
        <is>
          <t>Iter 5</t>
        </is>
      </c>
      <c r="F30" s="24" t="inlineStr">
        <is>
          <t>Media</t>
        </is>
      </c>
      <c r="G30" s="8" t="inlineStr">
        <is>
          <t>S</t>
        </is>
      </c>
      <c r="H30" s="8" t="inlineStr">
        <is>
          <t>Julián</t>
        </is>
      </c>
      <c r="I30" s="26" t="inlineStr">
        <is>
          <t>Pendiente</t>
        </is>
      </c>
      <c r="J30" s="25" t="inlineStr">
        <is>
          <t>5 pasos del tour reescritos con copy Coherev. CSS del popover usa tokens brand-*.</t>
        </is>
      </c>
      <c r="K30" s="25" t="inlineStr">
        <is>
          <t>Tour con marca Coherev</t>
        </is>
      </c>
    </row>
    <row r="31" ht="56" customHeight="1">
      <c r="A31" s="5" t="inlineStr">
        <is>
          <t>BRAND-009</t>
        </is>
      </c>
      <c r="B31" s="21" t="inlineStr">
        <is>
          <t>BRAND</t>
        </is>
      </c>
      <c r="C31" s="12" t="inlineStr">
        <is>
          <t>Favicon, metadata y 404 branded</t>
        </is>
      </c>
      <c r="D31" s="12" t="inlineStr">
        <is>
          <t>Metadata</t>
        </is>
      </c>
      <c r="E31" s="22" t="inlineStr">
        <is>
          <t>Iter 5</t>
        </is>
      </c>
      <c r="F31" s="24" t="inlineStr">
        <is>
          <t>Media</t>
        </is>
      </c>
      <c r="G31" s="8" t="inlineStr">
        <is>
          <t>S</t>
        </is>
      </c>
      <c r="H31" s="8" t="inlineStr">
        <is>
          <t>Julián</t>
        </is>
      </c>
      <c r="I31" s="26" t="inlineStr">
        <is>
          <t>Pendiente</t>
        </is>
      </c>
      <c r="J31" s="25" t="inlineStr">
        <is>
          <t>Favicon con isotipo, layout.tsx con title/description/theme-color, app/not-found.tsx rediseñado, loading.tsx con marca.</t>
        </is>
      </c>
      <c r="K31" s="25" t="inlineStr">
        <is>
          <t>Metadata y 404 con marca Coherev</t>
        </is>
      </c>
    </row>
    <row r="32" ht="56" customHeight="1">
      <c r="A32" s="5" t="inlineStr">
        <is>
          <t>BRAND-010</t>
        </is>
      </c>
      <c r="B32" s="21" t="inlineStr">
        <is>
          <t>BRAND</t>
        </is>
      </c>
      <c r="C32" s="12" t="inlineStr">
        <is>
          <t>Empty states ilustrados</t>
        </is>
      </c>
      <c r="D32" s="12" t="inlineStr">
        <is>
          <t>Estados vacíos</t>
        </is>
      </c>
      <c r="E32" s="22" t="inlineStr">
        <is>
          <t>Iter 5</t>
        </is>
      </c>
      <c r="F32" s="24" t="inlineStr">
        <is>
          <t>Media</t>
        </is>
      </c>
      <c r="G32" s="8" t="inlineStr">
        <is>
          <t>M</t>
        </is>
      </c>
      <c r="H32" s="8" t="inlineStr">
        <is>
          <t>Julián</t>
        </is>
      </c>
      <c r="I32" s="26" t="inlineStr">
        <is>
          <t>Pendiente</t>
        </is>
      </c>
      <c r="J32" s="25" t="inlineStr">
        <is>
          <t>Componente EmptyState reutilizable + 1 ilustración SVG simple por módulo + CTA contextual.</t>
        </is>
      </c>
      <c r="K32" s="25" t="inlineStr">
        <is>
          <t>Empty states Coherev en todas las páginas</t>
        </is>
      </c>
    </row>
    <row r="33" ht="56" customHeight="1">
      <c r="A33" s="5" t="inlineStr">
        <is>
          <t>UX-001</t>
        </is>
      </c>
      <c r="B33" s="21" t="inlineStr">
        <is>
          <t>UX</t>
        </is>
      </c>
      <c r="C33" s="12" t="inlineStr">
        <is>
          <t>Sidebar móvil (drawer)</t>
        </is>
      </c>
      <c r="D33" s="12" t="inlineStr">
        <is>
          <t>Responsive</t>
        </is>
      </c>
      <c r="E33" s="22" t="inlineStr">
        <is>
          <t>Iter 5</t>
        </is>
      </c>
      <c r="F33" s="24" t="inlineStr">
        <is>
          <t>Media</t>
        </is>
      </c>
      <c r="G33" s="8" t="inlineStr">
        <is>
          <t>M</t>
        </is>
      </c>
      <c r="H33" s="8" t="inlineStr">
        <is>
          <t>Julián</t>
        </is>
      </c>
      <c r="I33" s="26" t="inlineStr">
        <is>
          <t>Pendiente</t>
        </is>
      </c>
      <c r="J33" s="25" t="inlineStr">
        <is>
          <t>&lt; lg: sidebar oculto, hamburger topbar con isotipo, aria-expanded, animación slide-in 200ms, overlay cierra al click fuera/Esc.</t>
        </is>
      </c>
      <c r="K33" s="25" t="inlineStr">
        <is>
          <t>Sidebar drawer funcional en mobile</t>
        </is>
      </c>
    </row>
    <row r="34" ht="56" customHeight="1">
      <c r="A34" s="5" t="inlineStr">
        <is>
          <t>UX-002</t>
        </is>
      </c>
      <c r="B34" s="21" t="inlineStr">
        <is>
          <t>UX</t>
        </is>
      </c>
      <c r="C34" s="12" t="inlineStr">
        <is>
          <t>Accesibilidad WCAG AA</t>
        </is>
      </c>
      <c r="D34" s="12" t="inlineStr">
        <is>
          <t>a11y</t>
        </is>
      </c>
      <c r="E34" s="22" t="inlineStr">
        <is>
          <t>Iter 5</t>
        </is>
      </c>
      <c r="F34" s="24" t="inlineStr">
        <is>
          <t>Media</t>
        </is>
      </c>
      <c r="G34" s="8" t="inlineStr">
        <is>
          <t>M</t>
        </is>
      </c>
      <c r="H34" s="8" t="inlineStr">
        <is>
          <t>Julián</t>
        </is>
      </c>
      <c r="I34" s="26" t="inlineStr">
        <is>
          <t>Pendiente</t>
        </is>
      </c>
      <c r="J34" s="25" t="inlineStr">
        <is>
          <t>axe-core sin errores críticos, aria-label en botones solo-icono, contraste verificado en tokens brand-*, focus visible, navegación por teclado en chat composer.</t>
        </is>
      </c>
      <c r="K34" s="25" t="inlineStr">
        <is>
          <t>axe-core 0 errores críticos</t>
        </is>
      </c>
    </row>
    <row r="35" ht="56" customHeight="1">
      <c r="A35" s="5" t="inlineStr">
        <is>
          <t>UX-003</t>
        </is>
      </c>
      <c r="B35" s="21" t="inlineStr">
        <is>
          <t>UX</t>
        </is>
      </c>
      <c r="C35" s="12" t="inlineStr">
        <is>
          <t>Errores por campo</t>
        </is>
      </c>
      <c r="D35" s="12" t="inlineStr">
        <is>
          <t>Formularios</t>
        </is>
      </c>
      <c r="E35" s="22" t="inlineStr">
        <is>
          <t>Iter 5</t>
        </is>
      </c>
      <c r="F35" s="24" t="inlineStr">
        <is>
          <t>Media</t>
        </is>
      </c>
      <c r="G35" s="8" t="inlineStr">
        <is>
          <t>M</t>
        </is>
      </c>
      <c r="H35" s="8" t="inlineStr">
        <is>
          <t>Julián</t>
        </is>
      </c>
      <c r="I35" s="26" t="inlineStr">
        <is>
          <t>Pendiente</t>
        </is>
      </c>
      <c r="J35" s="25" t="inlineStr">
        <is>
          <t>Helper-text + aria-invalid por input, primer foco al primer input con error tras submit.</t>
        </is>
      </c>
      <c r="K35" s="25" t="inlineStr">
        <is>
          <t>Errores mostrados en cada campo, foco automático</t>
        </is>
      </c>
    </row>
    <row r="36" ht="56" customHeight="1">
      <c r="A36" s="5" t="inlineStr">
        <is>
          <t>UX-004</t>
        </is>
      </c>
      <c r="B36" s="21" t="inlineStr">
        <is>
          <t>UX</t>
        </is>
      </c>
      <c r="C36" s="12" t="inlineStr">
        <is>
          <t>Vista móvil del chat mejorada</t>
        </is>
      </c>
      <c r="D36" s="12" t="inlineStr">
        <is>
          <t>Chat mobile</t>
        </is>
      </c>
      <c r="E36" s="22" t="inlineStr">
        <is>
          <t>Iter 5</t>
        </is>
      </c>
      <c r="F36" s="24" t="inlineStr">
        <is>
          <t>Media</t>
        </is>
      </c>
      <c r="G36" s="8" t="inlineStr">
        <is>
          <t>M</t>
        </is>
      </c>
      <c r="H36" s="8" t="inlineStr">
        <is>
          <t>Julián</t>
        </is>
      </c>
      <c r="I36" s="26" t="inlineStr">
        <is>
          <t>Pendiente</t>
        </is>
      </c>
      <c r="J36" s="25" t="inlineStr">
        <is>
          <t>Composer fijo abajo con safe-area-inset, teclado no tapa último mensaje (scrollIntoView al focus), botón Saltar al último, attachment picker mobile-friendly.</t>
        </is>
      </c>
      <c r="K36" s="25" t="inlineStr">
        <is>
          <t>Chat mobile funcional con iOS safe-area</t>
        </is>
      </c>
    </row>
    <row r="37" ht="56" customHeight="1">
      <c r="A37" s="5" t="inlineStr">
        <is>
          <t>EVI-001</t>
        </is>
      </c>
      <c r="B37" s="21" t="inlineStr">
        <is>
          <t>EVI</t>
        </is>
      </c>
      <c r="C37" s="12" t="inlineStr">
        <is>
          <t>Capturas del tablero Trello real</t>
        </is>
      </c>
      <c r="D37" s="12" t="inlineStr">
        <is>
          <t>Evidencia</t>
        </is>
      </c>
      <c r="E37" s="22" t="inlineStr">
        <is>
          <t>Iter 6</t>
        </is>
      </c>
      <c r="F37" s="24" t="inlineStr">
        <is>
          <t>Media</t>
        </is>
      </c>
      <c r="G37" s="8" t="inlineStr">
        <is>
          <t>S</t>
        </is>
      </c>
      <c r="H37" s="8" t="inlineStr">
        <is>
          <t>Ambos</t>
        </is>
      </c>
      <c r="I37" s="26" t="inlineStr">
        <is>
          <t>Pendiente</t>
        </is>
      </c>
      <c r="J37" s="25" t="inlineStr">
        <is>
          <t>Capturas del tablero Trello del capstone en docs/evidence/.</t>
        </is>
      </c>
      <c r="K37" s="25" t="inlineStr">
        <is>
          <t>5+ capturas en docs/evidence/trello/</t>
        </is>
      </c>
    </row>
    <row r="38" ht="56" customHeight="1">
      <c r="A38" s="5" t="inlineStr">
        <is>
          <t>EVI-004</t>
        </is>
      </c>
      <c r="B38" s="21" t="inlineStr">
        <is>
          <t>EVI</t>
        </is>
      </c>
      <c r="C38" s="12" t="inlineStr">
        <is>
          <t>Inconsistencia MySQL ↔ MariaDB corregida en PPT</t>
        </is>
      </c>
      <c r="D38" s="12" t="inlineStr">
        <is>
          <t>Cierre</t>
        </is>
      </c>
      <c r="E38" s="22" t="inlineStr">
        <is>
          <t>Iter 6</t>
        </is>
      </c>
      <c r="F38" s="24" t="inlineStr">
        <is>
          <t>Media</t>
        </is>
      </c>
      <c r="G38" s="8" t="inlineStr">
        <is>
          <t>S</t>
        </is>
      </c>
      <c r="H38" s="8" t="inlineStr">
        <is>
          <t>Benjamín</t>
        </is>
      </c>
      <c r="I38" s="26" t="inlineStr">
        <is>
          <t>Pendiente</t>
        </is>
      </c>
      <c r="J38" s="25" t="inlineStr">
        <is>
          <t>Stack del PPT refleja MariaDB (no MySQL) y documenta Laravel Reverb / Pusher.</t>
        </is>
      </c>
      <c r="K38" s="25" t="inlineStr">
        <is>
          <t>Stack PPT coherente con código</t>
        </is>
      </c>
    </row>
    <row r="39" ht="56" customHeight="1">
      <c r="A39" s="5" t="inlineStr">
        <is>
          <t>EVI-005</t>
        </is>
      </c>
      <c r="B39" s="21" t="inlineStr">
        <is>
          <t>EVI</t>
        </is>
      </c>
      <c r="C39" s="12" t="inlineStr">
        <is>
          <t>README raiz actualizado con Coherev</t>
        </is>
      </c>
      <c r="D39" s="12" t="inlineStr">
        <is>
          <t>Cierre</t>
        </is>
      </c>
      <c r="E39" s="22" t="inlineStr">
        <is>
          <t>Iter 6</t>
        </is>
      </c>
      <c r="F39" s="24" t="inlineStr">
        <is>
          <t>Media</t>
        </is>
      </c>
      <c r="G39" s="8" t="inlineStr">
        <is>
          <t>S</t>
        </is>
      </c>
      <c r="H39" s="8" t="inlineStr">
        <is>
          <t>Ambos</t>
        </is>
      </c>
      <c r="I39" s="26" t="inlineStr">
        <is>
          <t>Pendiente</t>
        </is>
      </c>
      <c r="J39" s="25" t="inlineStr">
        <is>
          <t>README raiz refleja nombre Coherev, stack coherente, instrucciones de arranque actualizadas.</t>
        </is>
      </c>
      <c r="K39" s="25" t="inlineStr">
        <is>
          <t>README menciona Coherev como nombre oficial</t>
        </is>
      </c>
    </row>
    <row r="40" ht="56" customHeight="1">
      <c r="A40" s="5" t="inlineStr">
        <is>
          <t>EVI-006</t>
        </is>
      </c>
      <c r="B40" s="21" t="inlineStr">
        <is>
          <t>EVI</t>
        </is>
      </c>
      <c r="C40" s="12" t="inlineStr">
        <is>
          <t>git tag capstone-v1.0 + entrega final</t>
        </is>
      </c>
      <c r="D40" s="12" t="inlineStr">
        <is>
          <t>Cierre</t>
        </is>
      </c>
      <c r="E40" s="22" t="inlineStr">
        <is>
          <t>Iter 6</t>
        </is>
      </c>
      <c r="F40" s="23" t="inlineStr">
        <is>
          <t>Alta</t>
        </is>
      </c>
      <c r="G40" s="8" t="inlineStr">
        <is>
          <t>S</t>
        </is>
      </c>
      <c r="H40" s="8" t="inlineStr">
        <is>
          <t>Ambos</t>
        </is>
      </c>
      <c r="I40" s="26" t="inlineStr">
        <is>
          <t>Pendiente</t>
        </is>
      </c>
      <c r="J40" s="25" t="inlineStr">
        <is>
          <t>Tag del release v1.0, backup del repo, repositorio presentable sin archivos temporales.</t>
        </is>
      </c>
      <c r="K40" s="25" t="inlineStr">
        <is>
          <t>Tag pusheado, repo limpio</t>
        </is>
      </c>
    </row>
  </sheetData>
  <autoFilter ref="A5:K40"/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7B3F"/>
    <outlinePr summaryBelow="1" summaryRight="1"/>
    <pageSetUpPr/>
  </sheetPr>
  <dimension ref="A1:L6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1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</cols>
  <sheetData>
    <row r="1" ht="36" customHeight="1">
      <c r="A1" s="1" t="inlineStr">
        <is>
          <t>Roadmap por Iteración (M0-M6)</t>
        </is>
      </c>
    </row>
    <row r="2" ht="20" customHeight="1">
      <c r="A2" s="2" t="inlineStr">
        <is>
          <t>Tarjetas agrupadas por milestone · Cuenta de tarjetas por estado</t>
        </is>
      </c>
    </row>
    <row r="4">
      <c r="A4" s="3" t="inlineStr">
        <is>
          <t>Iter 0 · Fundamentos (monorepo, login) · 31-ago → 19-sept-2026</t>
        </is>
      </c>
      <c r="B4" s="28" t="n"/>
      <c r="C4" s="28" t="n"/>
      <c r="D4" s="28" t="n"/>
      <c r="E4" s="28" t="n"/>
      <c r="F4" s="28" t="n"/>
      <c r="G4" s="28" t="n"/>
      <c r="H4" s="29" t="n"/>
    </row>
    <row r="5">
      <c r="A5" s="5" t="inlineStr">
        <is>
          <t>Tarjetas</t>
        </is>
      </c>
      <c r="B5" s="8" t="n">
        <v>1</v>
      </c>
      <c r="C5" s="19" t="inlineStr">
        <is>
          <t>Hecho</t>
        </is>
      </c>
      <c r="D5" s="8" t="n">
        <v>1</v>
      </c>
      <c r="E5" s="24" t="inlineStr">
        <is>
          <t>En curso</t>
        </is>
      </c>
      <c r="F5" s="8" t="n">
        <v>0</v>
      </c>
      <c r="G5" s="26" t="inlineStr">
        <is>
          <t>Pendiente</t>
        </is>
      </c>
      <c r="H5" s="8" t="n">
        <v>0</v>
      </c>
    </row>
    <row r="6">
      <c r="A6" s="4" t="inlineStr">
        <is>
          <t>ID</t>
        </is>
      </c>
      <c r="B6" s="4" t="inlineStr">
        <is>
          <t>Título</t>
        </is>
      </c>
      <c r="C6" s="4" t="inlineStr">
        <is>
          <t>Prioridad</t>
        </is>
      </c>
      <c r="D6" s="4" t="inlineStr">
        <is>
          <t>Owner</t>
        </is>
      </c>
      <c r="E6" s="4" t="inlineStr">
        <is>
          <t>Estado</t>
        </is>
      </c>
    </row>
    <row r="7" ht="22" customHeight="1">
      <c r="A7" s="5" t="inlineStr">
        <is>
          <t>SEC-000</t>
        </is>
      </c>
      <c r="B7" s="12" t="inlineStr">
        <is>
          <t>Setup monorepo Laravel 13 + Next.js 16</t>
        </is>
      </c>
      <c r="C7" s="23" t="inlineStr">
        <is>
          <t>Alta</t>
        </is>
      </c>
      <c r="D7" s="8" t="inlineStr">
        <is>
          <t>Ambos</t>
        </is>
      </c>
      <c r="E7" s="19" t="inlineStr">
        <is>
          <t>Hecho</t>
        </is>
      </c>
    </row>
    <row r="9">
      <c r="A9" s="3" t="inlineStr">
        <is>
          <t>Iter 1 · Seguridad y Roles · 20-sept → 17-oct-2026</t>
        </is>
      </c>
      <c r="B9" s="28" t="n"/>
      <c r="C9" s="28" t="n"/>
      <c r="D9" s="28" t="n"/>
      <c r="E9" s="28" t="n"/>
      <c r="F9" s="28" t="n"/>
      <c r="G9" s="28" t="n"/>
      <c r="H9" s="29" t="n"/>
    </row>
    <row r="10">
      <c r="A10" s="5" t="inlineStr">
        <is>
          <t>Tarjetas</t>
        </is>
      </c>
      <c r="B10" s="8" t="n">
        <v>8</v>
      </c>
      <c r="C10" s="19" t="inlineStr">
        <is>
          <t>Hecho</t>
        </is>
      </c>
      <c r="D10" s="8" t="n">
        <v>0</v>
      </c>
      <c r="E10" s="24" t="inlineStr">
        <is>
          <t>En curso</t>
        </is>
      </c>
      <c r="F10" s="8" t="n">
        <v>8</v>
      </c>
      <c r="G10" s="26" t="inlineStr">
        <is>
          <t>Pendiente</t>
        </is>
      </c>
      <c r="H10" s="8" t="n">
        <v>0</v>
      </c>
    </row>
    <row r="11">
      <c r="A11" s="4" t="inlineStr">
        <is>
          <t>ID</t>
        </is>
      </c>
      <c r="B11" s="4" t="inlineStr">
        <is>
          <t>Título</t>
        </is>
      </c>
      <c r="C11" s="4" t="inlineStr">
        <is>
          <t>Prioridad</t>
        </is>
      </c>
      <c r="D11" s="4" t="inlineStr">
        <is>
          <t>Owner</t>
        </is>
      </c>
      <c r="E11" s="4" t="inlineStr">
        <is>
          <t>Estado</t>
        </is>
      </c>
    </row>
    <row r="12" ht="22" customHeight="1">
      <c r="A12" s="5" t="inlineStr">
        <is>
          <t>ROL-001</t>
        </is>
      </c>
      <c r="B12" s="12" t="inlineStr">
        <is>
          <t>Modelar 4 roles canónicos</t>
        </is>
      </c>
      <c r="C12" s="23" t="inlineStr">
        <is>
          <t>Alta</t>
        </is>
      </c>
      <c r="D12" s="8" t="inlineStr">
        <is>
          <t>Benjamín</t>
        </is>
      </c>
      <c r="E12" s="24" t="inlineStr">
        <is>
          <t>En curso</t>
        </is>
      </c>
    </row>
    <row r="13" ht="22" customHeight="1">
      <c r="A13" s="5" t="inlineStr">
        <is>
          <t>ROL-002</t>
        </is>
      </c>
      <c r="B13" s="12" t="inlineStr">
        <is>
          <t>Refactor User::canManageAnnouncements()</t>
        </is>
      </c>
      <c r="C13" s="23" t="inlineStr">
        <is>
          <t>Alta</t>
        </is>
      </c>
      <c r="D13" s="8" t="inlineStr">
        <is>
          <t>Benjamín</t>
        </is>
      </c>
      <c r="E13" s="24" t="inlineStr">
        <is>
          <t>En curso</t>
        </is>
      </c>
    </row>
    <row r="14" ht="22" customHeight="1">
      <c r="A14" s="5" t="inlineStr">
        <is>
          <t>SEC-001</t>
        </is>
      </c>
      <c r="B14" s="12" t="inlineStr">
        <is>
          <t>Rate-limit en login (5/min)</t>
        </is>
      </c>
      <c r="C14" s="23" t="inlineStr">
        <is>
          <t>Alta</t>
        </is>
      </c>
      <c r="D14" s="8" t="inlineStr">
        <is>
          <t>Benjamín</t>
        </is>
      </c>
      <c r="E14" s="24" t="inlineStr">
        <is>
          <t>En curso</t>
        </is>
      </c>
    </row>
    <row r="15" ht="22" customHeight="1">
      <c r="A15" s="5" t="inlineStr">
        <is>
          <t>SEC-002</t>
        </is>
      </c>
      <c r="B15" s="12" t="inlineStr">
        <is>
          <t>Middleware admin en UserController</t>
        </is>
      </c>
      <c r="C15" s="23" t="inlineStr">
        <is>
          <t>Alta</t>
        </is>
      </c>
      <c r="D15" s="8" t="inlineStr">
        <is>
          <t>Benjamín</t>
        </is>
      </c>
      <c r="E15" s="24" t="inlineStr">
        <is>
          <t>En curso</t>
        </is>
      </c>
    </row>
    <row r="16" ht="22" customHeight="1">
      <c r="A16" s="5" t="inlineStr">
        <is>
          <t>SEC-003</t>
        </is>
      </c>
      <c r="B16" s="12" t="inlineStr">
        <is>
          <t>Middleware admin en DepartmentController</t>
        </is>
      </c>
      <c r="C16" s="23" t="inlineStr">
        <is>
          <t>Alta</t>
        </is>
      </c>
      <c r="D16" s="8" t="inlineStr">
        <is>
          <t>Benjamín</t>
        </is>
      </c>
      <c r="E16" s="24" t="inlineStr">
        <is>
          <t>En curso</t>
        </is>
      </c>
    </row>
    <row r="17" ht="22" customHeight="1">
      <c r="A17" s="5" t="inlineStr">
        <is>
          <t>SEC-004</t>
        </is>
      </c>
      <c r="B17" s="12" t="inlineStr">
        <is>
          <t>Middleware admin en RoleController</t>
        </is>
      </c>
      <c r="C17" s="23" t="inlineStr">
        <is>
          <t>Alta</t>
        </is>
      </c>
      <c r="D17" s="8" t="inlineStr">
        <is>
          <t>Benjamín</t>
        </is>
      </c>
      <c r="E17" s="24" t="inlineStr">
        <is>
          <t>En curso</t>
        </is>
      </c>
    </row>
    <row r="18" ht="22" customHeight="1">
      <c r="A18" s="5" t="inlineStr">
        <is>
          <t>SEC-005</t>
        </is>
      </c>
      <c r="B18" s="12" t="inlineStr">
        <is>
          <t>DocumentPolicy (admin o dueno)</t>
        </is>
      </c>
      <c r="C18" s="23" t="inlineStr">
        <is>
          <t>Alta</t>
        </is>
      </c>
      <c r="D18" s="8" t="inlineStr">
        <is>
          <t>Benjamín</t>
        </is>
      </c>
      <c r="E18" s="24" t="inlineStr">
        <is>
          <t>En curso</t>
        </is>
      </c>
    </row>
    <row r="19" ht="22" customHeight="1">
      <c r="A19" s="5" t="inlineStr">
        <is>
          <t>SEC-006</t>
        </is>
      </c>
      <c r="B19" s="12" t="inlineStr">
        <is>
          <t>Validar MIME real en uploads</t>
        </is>
      </c>
      <c r="C19" s="23" t="inlineStr">
        <is>
          <t>Alta</t>
        </is>
      </c>
      <c r="D19" s="8" t="inlineStr">
        <is>
          <t>Benjamín</t>
        </is>
      </c>
      <c r="E19" s="24" t="inlineStr">
        <is>
          <t>En curso</t>
        </is>
      </c>
    </row>
    <row r="21">
      <c r="A21" s="3" t="inlineStr">
        <is>
          <t>Iter 2 · Cobertura funcional · 18-oct → 14-nov-2026</t>
        </is>
      </c>
      <c r="B21" s="28" t="n"/>
      <c r="C21" s="28" t="n"/>
      <c r="D21" s="28" t="n"/>
      <c r="E21" s="28" t="n"/>
      <c r="F21" s="28" t="n"/>
      <c r="G21" s="28" t="n"/>
      <c r="H21" s="29" t="n"/>
    </row>
    <row r="22">
      <c r="A22" s="5" t="inlineStr">
        <is>
          <t>Tarjetas</t>
        </is>
      </c>
      <c r="B22" s="8" t="n">
        <v>2</v>
      </c>
      <c r="C22" s="19" t="inlineStr">
        <is>
          <t>Hecho</t>
        </is>
      </c>
      <c r="D22" s="8" t="n">
        <v>0</v>
      </c>
      <c r="E22" s="24" t="inlineStr">
        <is>
          <t>En curso</t>
        </is>
      </c>
      <c r="F22" s="8" t="n">
        <v>1</v>
      </c>
      <c r="G22" s="26" t="inlineStr">
        <is>
          <t>Pendiente</t>
        </is>
      </c>
      <c r="H22" s="8" t="n">
        <v>1</v>
      </c>
    </row>
    <row r="23">
      <c r="A23" s="4" t="inlineStr">
        <is>
          <t>ID</t>
        </is>
      </c>
      <c r="B23" s="4" t="inlineStr">
        <is>
          <t>Título</t>
        </is>
      </c>
      <c r="C23" s="4" t="inlineStr">
        <is>
          <t>Prioridad</t>
        </is>
      </c>
      <c r="D23" s="4" t="inlineStr">
        <is>
          <t>Owner</t>
        </is>
      </c>
      <c r="E23" s="4" t="inlineStr">
        <is>
          <t>Estado</t>
        </is>
      </c>
    </row>
    <row r="24" ht="22" customHeight="1">
      <c r="A24" s="5" t="inlineStr">
        <is>
          <t>ROL-003</t>
        </is>
      </c>
      <c r="B24" s="12" t="inlineStr">
        <is>
          <t>Sidebar por 4 roles</t>
        </is>
      </c>
      <c r="C24" s="23" t="inlineStr">
        <is>
          <t>Alta</t>
        </is>
      </c>
      <c r="D24" s="8" t="inlineStr">
        <is>
          <t>Julián</t>
        </is>
      </c>
      <c r="E24" s="26" t="inlineStr">
        <is>
          <t>Pendiente</t>
        </is>
      </c>
    </row>
    <row r="25" ht="22" customHeight="1">
      <c r="A25" s="5" t="inlineStr">
        <is>
          <t>SEC-007</t>
        </is>
      </c>
      <c r="B25" s="12" t="inlineStr">
        <is>
          <t>Conectar tabla message_reads</t>
        </is>
      </c>
      <c r="C25" s="24" t="inlineStr">
        <is>
          <t>Media</t>
        </is>
      </c>
      <c r="D25" s="8" t="inlineStr">
        <is>
          <t>Benjamín</t>
        </is>
      </c>
      <c r="E25" s="24" t="inlineStr">
        <is>
          <t>En curso</t>
        </is>
      </c>
    </row>
    <row r="27">
      <c r="A27" s="3" t="inlineStr">
        <is>
          <t>Iter 3 · Documentación · 18-oct → 28-nov-2026</t>
        </is>
      </c>
      <c r="B27" s="28" t="n"/>
      <c r="C27" s="28" t="n"/>
      <c r="D27" s="28" t="n"/>
      <c r="E27" s="28" t="n"/>
      <c r="F27" s="28" t="n"/>
      <c r="G27" s="28" t="n"/>
      <c r="H27" s="29" t="n"/>
    </row>
    <row r="28">
      <c r="A28" s="5" t="inlineStr">
        <is>
          <t>Tarjetas</t>
        </is>
      </c>
      <c r="B28" s="8" t="n">
        <v>5</v>
      </c>
      <c r="C28" s="19" t="inlineStr">
        <is>
          <t>Hecho</t>
        </is>
      </c>
      <c r="D28" s="8" t="n">
        <v>0</v>
      </c>
      <c r="E28" s="24" t="inlineStr">
        <is>
          <t>En curso</t>
        </is>
      </c>
      <c r="F28" s="8" t="n">
        <v>0</v>
      </c>
      <c r="G28" s="26" t="inlineStr">
        <is>
          <t>Pendiente</t>
        </is>
      </c>
      <c r="H28" s="8" t="n">
        <v>5</v>
      </c>
    </row>
    <row r="29">
      <c r="A29" s="4" t="inlineStr">
        <is>
          <t>ID</t>
        </is>
      </c>
      <c r="B29" s="4" t="inlineStr">
        <is>
          <t>Título</t>
        </is>
      </c>
      <c r="C29" s="4" t="inlineStr">
        <is>
          <t>Prioridad</t>
        </is>
      </c>
      <c r="D29" s="4" t="inlineStr">
        <is>
          <t>Owner</t>
        </is>
      </c>
      <c r="E29" s="4" t="inlineStr">
        <is>
          <t>Estado</t>
        </is>
      </c>
    </row>
    <row r="30" ht="22" customHeight="1">
      <c r="A30" s="5" t="inlineStr">
        <is>
          <t>DOC-001</t>
        </is>
      </c>
      <c r="B30" s="12" t="inlineStr">
        <is>
          <t>Diagrama de arquitectura (Markdown)</t>
        </is>
      </c>
      <c r="C30" s="24" t="inlineStr">
        <is>
          <t>Media</t>
        </is>
      </c>
      <c r="D30" s="8" t="inlineStr">
        <is>
          <t>Benjamín</t>
        </is>
      </c>
      <c r="E30" s="26" t="inlineStr">
        <is>
          <t>Pendiente</t>
        </is>
      </c>
    </row>
    <row r="31" ht="22" customHeight="1">
      <c r="A31" s="5" t="inlineStr">
        <is>
          <t>DOC-002</t>
        </is>
      </c>
      <c r="B31" s="12" t="inlineStr">
        <is>
          <t>Diagrama ER de la BD</t>
        </is>
      </c>
      <c r="C31" s="24" t="inlineStr">
        <is>
          <t>Media</t>
        </is>
      </c>
      <c r="D31" s="8" t="inlineStr">
        <is>
          <t>Benjamín</t>
        </is>
      </c>
      <c r="E31" s="26" t="inlineStr">
        <is>
          <t>Pendiente</t>
        </is>
      </c>
    </row>
    <row r="32" ht="22" customHeight="1">
      <c r="A32" s="5" t="inlineStr">
        <is>
          <t>DOC-003</t>
        </is>
      </c>
      <c r="B32" s="12" t="inlineStr">
        <is>
          <t>Documento de RF y RNF</t>
        </is>
      </c>
      <c r="C32" s="24" t="inlineStr">
        <is>
          <t>Media</t>
        </is>
      </c>
      <c r="D32" s="8" t="inlineStr">
        <is>
          <t>Benjamín</t>
        </is>
      </c>
      <c r="E32" s="26" t="inlineStr">
        <is>
          <t>Pendiente</t>
        </is>
      </c>
    </row>
    <row r="33" ht="22" customHeight="1">
      <c r="A33" s="5" t="inlineStr">
        <is>
          <t>DOC-004</t>
        </is>
      </c>
      <c r="B33" s="12" t="inlineStr">
        <is>
          <t>Historias de usuario</t>
        </is>
      </c>
      <c r="C33" s="24" t="inlineStr">
        <is>
          <t>Media</t>
        </is>
      </c>
      <c r="D33" s="8" t="inlineStr">
        <is>
          <t>Julián</t>
        </is>
      </c>
      <c r="E33" s="26" t="inlineStr">
        <is>
          <t>Pendiente</t>
        </is>
      </c>
    </row>
    <row r="34" ht="22" customHeight="1">
      <c r="A34" s="5" t="inlineStr">
        <is>
          <t>DOC-005</t>
        </is>
      </c>
      <c r="B34" s="12" t="inlineStr">
        <is>
          <t>Matriz de trazabilidad</t>
        </is>
      </c>
      <c r="C34" s="24" t="inlineStr">
        <is>
          <t>Media</t>
        </is>
      </c>
      <c r="D34" s="8" t="inlineStr">
        <is>
          <t>Ambos</t>
        </is>
      </c>
      <c r="E34" s="26" t="inlineStr">
        <is>
          <t>Pendiente</t>
        </is>
      </c>
    </row>
    <row r="36">
      <c r="A36" s="3" t="inlineStr">
        <is>
          <t>Iter 4 · Evidencia con usuarios · 15-nov → 28-nov-2026</t>
        </is>
      </c>
      <c r="B36" s="28" t="n"/>
      <c r="C36" s="28" t="n"/>
      <c r="D36" s="28" t="n"/>
      <c r="E36" s="28" t="n"/>
      <c r="F36" s="28" t="n"/>
      <c r="G36" s="28" t="n"/>
      <c r="H36" s="29" t="n"/>
    </row>
    <row r="37">
      <c r="A37" s="5" t="inlineStr">
        <is>
          <t>Tarjetas</t>
        </is>
      </c>
      <c r="B37" s="8" t="n">
        <v>1</v>
      </c>
      <c r="C37" s="19" t="inlineStr">
        <is>
          <t>Hecho</t>
        </is>
      </c>
      <c r="D37" s="8" t="n">
        <v>0</v>
      </c>
      <c r="E37" s="24" t="inlineStr">
        <is>
          <t>En curso</t>
        </is>
      </c>
      <c r="F37" s="8" t="n">
        <v>0</v>
      </c>
      <c r="G37" s="26" t="inlineStr">
        <is>
          <t>Pendiente</t>
        </is>
      </c>
      <c r="H37" s="8" t="n">
        <v>1</v>
      </c>
    </row>
    <row r="38">
      <c r="A38" s="4" t="inlineStr">
        <is>
          <t>ID</t>
        </is>
      </c>
      <c r="B38" s="4" t="inlineStr">
        <is>
          <t>Título</t>
        </is>
      </c>
      <c r="C38" s="4" t="inlineStr">
        <is>
          <t>Prioridad</t>
        </is>
      </c>
      <c r="D38" s="4" t="inlineStr">
        <is>
          <t>Owner</t>
        </is>
      </c>
      <c r="E38" s="4" t="inlineStr">
        <is>
          <t>Estado</t>
        </is>
      </c>
    </row>
    <row r="39" ht="22" customHeight="1">
      <c r="A39" s="5" t="inlineStr">
        <is>
          <t>EVI-002</t>
        </is>
      </c>
      <c r="B39" s="12" t="inlineStr">
        <is>
          <t>Acta de pruebas con usuarios</t>
        </is>
      </c>
      <c r="C39" s="24" t="inlineStr">
        <is>
          <t>Media</t>
        </is>
      </c>
      <c r="D39" s="8" t="inlineStr">
        <is>
          <t>Ambos</t>
        </is>
      </c>
      <c r="E39" s="26" t="inlineStr">
        <is>
          <t>Pendiente</t>
        </is>
      </c>
    </row>
    <row r="41">
      <c r="A41" s="3" t="inlineStr">
        <is>
          <t>Iter 5 · Branding + UX · 15-nov → 28-nov-2026</t>
        </is>
      </c>
      <c r="B41" s="28" t="n"/>
      <c r="C41" s="28" t="n"/>
      <c r="D41" s="28" t="n"/>
      <c r="E41" s="28" t="n"/>
      <c r="F41" s="28" t="n"/>
      <c r="G41" s="28" t="n"/>
      <c r="H41" s="29" t="n"/>
    </row>
    <row r="42">
      <c r="A42" s="5" t="inlineStr">
        <is>
          <t>Tarjetas</t>
        </is>
      </c>
      <c r="B42" s="8" t="n">
        <v>14</v>
      </c>
      <c r="C42" s="19" t="inlineStr">
        <is>
          <t>Hecho</t>
        </is>
      </c>
      <c r="D42" s="8" t="n">
        <v>0</v>
      </c>
      <c r="E42" s="24" t="inlineStr">
        <is>
          <t>En curso</t>
        </is>
      </c>
      <c r="F42" s="8" t="n">
        <v>0</v>
      </c>
      <c r="G42" s="26" t="inlineStr">
        <is>
          <t>Pendiente</t>
        </is>
      </c>
      <c r="H42" s="8" t="n">
        <v>14</v>
      </c>
    </row>
    <row r="43">
      <c r="A43" s="4" t="inlineStr">
        <is>
          <t>ID</t>
        </is>
      </c>
      <c r="B43" s="4" t="inlineStr">
        <is>
          <t>Título</t>
        </is>
      </c>
      <c r="C43" s="4" t="inlineStr">
        <is>
          <t>Prioridad</t>
        </is>
      </c>
      <c r="D43" s="4" t="inlineStr">
        <is>
          <t>Owner</t>
        </is>
      </c>
      <c r="E43" s="4" t="inlineStr">
        <is>
          <t>Estado</t>
        </is>
      </c>
    </row>
    <row r="44" ht="22" customHeight="1">
      <c r="A44" s="5" t="inlineStr">
        <is>
          <t>BRAND-001</t>
        </is>
      </c>
      <c r="B44" s="12" t="inlineStr">
        <is>
          <t>Wordmark + isotipo + tagline Coherev</t>
        </is>
      </c>
      <c r="C44" s="23" t="inlineStr">
        <is>
          <t>Alta</t>
        </is>
      </c>
      <c r="D44" s="8" t="inlineStr">
        <is>
          <t>Julián</t>
        </is>
      </c>
      <c r="E44" s="26" t="inlineStr">
        <is>
          <t>Pendiente</t>
        </is>
      </c>
    </row>
    <row r="45" ht="22" customHeight="1">
      <c r="A45" s="5" t="inlineStr">
        <is>
          <t>BRAND-002</t>
        </is>
      </c>
      <c r="B45" s="12" t="inlineStr">
        <is>
          <t>Refinar tokens CSS (mantener paleta)</t>
        </is>
      </c>
      <c r="C45" s="23" t="inlineStr">
        <is>
          <t>Alta</t>
        </is>
      </c>
      <c r="D45" s="8" t="inlineStr">
        <is>
          <t>Julián</t>
        </is>
      </c>
      <c r="E45" s="26" t="inlineStr">
        <is>
          <t>Pendiente</t>
        </is>
      </c>
    </row>
    <row r="46" ht="22" customHeight="1">
      <c r="A46" s="5" t="inlineStr">
        <is>
          <t>BRAND-003</t>
        </is>
      </c>
      <c r="B46" s="12" t="inlineStr">
        <is>
          <t>Rebranding del login</t>
        </is>
      </c>
      <c r="C46" s="23" t="inlineStr">
        <is>
          <t>Alta</t>
        </is>
      </c>
      <c r="D46" s="8" t="inlineStr">
        <is>
          <t>Julián</t>
        </is>
      </c>
      <c r="E46" s="26" t="inlineStr">
        <is>
          <t>Pendiente</t>
        </is>
      </c>
    </row>
    <row r="47" ht="22" customHeight="1">
      <c r="A47" s="5" t="inlineStr">
        <is>
          <t>BRAND-004</t>
        </is>
      </c>
      <c r="B47" s="12" t="inlineStr">
        <is>
          <t>Rebranding del sidebar</t>
        </is>
      </c>
      <c r="C47" s="23" t="inlineStr">
        <is>
          <t>Alta</t>
        </is>
      </c>
      <c r="D47" s="8" t="inlineStr">
        <is>
          <t>Julián</t>
        </is>
      </c>
      <c r="E47" s="26" t="inlineStr">
        <is>
          <t>Pendiente</t>
        </is>
      </c>
    </row>
    <row r="48" ht="22" customHeight="1">
      <c r="A48" s="5" t="inlineStr">
        <is>
          <t>BRAND-005</t>
        </is>
      </c>
      <c r="B48" s="12" t="inlineStr">
        <is>
          <t>Rebranding del dashboard (Inicio)</t>
        </is>
      </c>
      <c r="C48" s="23" t="inlineStr">
        <is>
          <t>Alta</t>
        </is>
      </c>
      <c r="D48" s="8" t="inlineStr">
        <is>
          <t>Julián</t>
        </is>
      </c>
      <c r="E48" s="26" t="inlineStr">
        <is>
          <t>Pendiente</t>
        </is>
      </c>
    </row>
    <row r="49" ht="22" customHeight="1">
      <c r="A49" s="5" t="inlineStr">
        <is>
          <t>BRAND-006</t>
        </is>
      </c>
      <c r="B49" s="12" t="inlineStr">
        <is>
          <t>Rebranding de páginas internas</t>
        </is>
      </c>
      <c r="C49" s="23" t="inlineStr">
        <is>
          <t>Alta</t>
        </is>
      </c>
      <c r="D49" s="8" t="inlineStr">
        <is>
          <t>Julián</t>
        </is>
      </c>
      <c r="E49" s="26" t="inlineStr">
        <is>
          <t>Pendiente</t>
        </is>
      </c>
    </row>
    <row r="50" ht="22" customHeight="1">
      <c r="A50" s="5" t="inlineStr">
        <is>
          <t>BRAND-007</t>
        </is>
      </c>
      <c r="B50" s="12" t="inlineStr">
        <is>
          <t>Voice &amp; tone Coherev + microcopy</t>
        </is>
      </c>
      <c r="C50" s="24" t="inlineStr">
        <is>
          <t>Media</t>
        </is>
      </c>
      <c r="D50" s="8" t="inlineStr">
        <is>
          <t>Julián</t>
        </is>
      </c>
      <c r="E50" s="26" t="inlineStr">
        <is>
          <t>Pendiente</t>
        </is>
      </c>
    </row>
    <row r="51" ht="22" customHeight="1">
      <c r="A51" s="5" t="inlineStr">
        <is>
          <t>BRAND-008</t>
        </is>
      </c>
      <c r="B51" s="12" t="inlineStr">
        <is>
          <t>Onboarding tour con marca</t>
        </is>
      </c>
      <c r="C51" s="24" t="inlineStr">
        <is>
          <t>Media</t>
        </is>
      </c>
      <c r="D51" s="8" t="inlineStr">
        <is>
          <t>Julián</t>
        </is>
      </c>
      <c r="E51" s="26" t="inlineStr">
        <is>
          <t>Pendiente</t>
        </is>
      </c>
    </row>
    <row r="52" ht="22" customHeight="1">
      <c r="A52" s="5" t="inlineStr">
        <is>
          <t>BRAND-009</t>
        </is>
      </c>
      <c r="B52" s="12" t="inlineStr">
        <is>
          <t>Favicon, metadata y 404 branded</t>
        </is>
      </c>
      <c r="C52" s="24" t="inlineStr">
        <is>
          <t>Media</t>
        </is>
      </c>
      <c r="D52" s="8" t="inlineStr">
        <is>
          <t>Julián</t>
        </is>
      </c>
      <c r="E52" s="26" t="inlineStr">
        <is>
          <t>Pendiente</t>
        </is>
      </c>
    </row>
    <row r="53" ht="22" customHeight="1">
      <c r="A53" s="5" t="inlineStr">
        <is>
          <t>BRAND-010</t>
        </is>
      </c>
      <c r="B53" s="12" t="inlineStr">
        <is>
          <t>Empty states ilustrados</t>
        </is>
      </c>
      <c r="C53" s="24" t="inlineStr">
        <is>
          <t>Media</t>
        </is>
      </c>
      <c r="D53" s="8" t="inlineStr">
        <is>
          <t>Julián</t>
        </is>
      </c>
      <c r="E53" s="26" t="inlineStr">
        <is>
          <t>Pendiente</t>
        </is>
      </c>
    </row>
    <row r="54" ht="22" customHeight="1">
      <c r="A54" s="5" t="inlineStr">
        <is>
          <t>UX-001</t>
        </is>
      </c>
      <c r="B54" s="12" t="inlineStr">
        <is>
          <t>Sidebar móvil (drawer)</t>
        </is>
      </c>
      <c r="C54" s="24" t="inlineStr">
        <is>
          <t>Media</t>
        </is>
      </c>
      <c r="D54" s="8" t="inlineStr">
        <is>
          <t>Julián</t>
        </is>
      </c>
      <c r="E54" s="26" t="inlineStr">
        <is>
          <t>Pendiente</t>
        </is>
      </c>
    </row>
    <row r="55" ht="22" customHeight="1">
      <c r="A55" s="5" t="inlineStr">
        <is>
          <t>UX-002</t>
        </is>
      </c>
      <c r="B55" s="12" t="inlineStr">
        <is>
          <t>Accesibilidad WCAG AA</t>
        </is>
      </c>
      <c r="C55" s="24" t="inlineStr">
        <is>
          <t>Media</t>
        </is>
      </c>
      <c r="D55" s="8" t="inlineStr">
        <is>
          <t>Julián</t>
        </is>
      </c>
      <c r="E55" s="26" t="inlineStr">
        <is>
          <t>Pendiente</t>
        </is>
      </c>
    </row>
    <row r="56" ht="22" customHeight="1">
      <c r="A56" s="5" t="inlineStr">
        <is>
          <t>UX-003</t>
        </is>
      </c>
      <c r="B56" s="12" t="inlineStr">
        <is>
          <t>Errores por campo</t>
        </is>
      </c>
      <c r="C56" s="24" t="inlineStr">
        <is>
          <t>Media</t>
        </is>
      </c>
      <c r="D56" s="8" t="inlineStr">
        <is>
          <t>Julián</t>
        </is>
      </c>
      <c r="E56" s="26" t="inlineStr">
        <is>
          <t>Pendiente</t>
        </is>
      </c>
    </row>
    <row r="57" ht="22" customHeight="1">
      <c r="A57" s="5" t="inlineStr">
        <is>
          <t>UX-004</t>
        </is>
      </c>
      <c r="B57" s="12" t="inlineStr">
        <is>
          <t>Vista móvil del chat mejorada</t>
        </is>
      </c>
      <c r="C57" s="24" t="inlineStr">
        <is>
          <t>Media</t>
        </is>
      </c>
      <c r="D57" s="8" t="inlineStr">
        <is>
          <t>Julián</t>
        </is>
      </c>
      <c r="E57" s="26" t="inlineStr">
        <is>
          <t>Pendiente</t>
        </is>
      </c>
    </row>
    <row r="59">
      <c r="A59" s="3" t="inlineStr">
        <is>
          <t>Iter 6 · Cierre y entrega · 29-nov → 04-dic-2026</t>
        </is>
      </c>
      <c r="B59" s="28" t="n"/>
      <c r="C59" s="28" t="n"/>
      <c r="D59" s="28" t="n"/>
      <c r="E59" s="28" t="n"/>
      <c r="F59" s="28" t="n"/>
      <c r="G59" s="28" t="n"/>
      <c r="H59" s="29" t="n"/>
    </row>
    <row r="60">
      <c r="A60" s="5" t="inlineStr">
        <is>
          <t>Tarjetas</t>
        </is>
      </c>
      <c r="B60" s="8" t="n">
        <v>4</v>
      </c>
      <c r="C60" s="19" t="inlineStr">
        <is>
          <t>Hecho</t>
        </is>
      </c>
      <c r="D60" s="8" t="n">
        <v>0</v>
      </c>
      <c r="E60" s="24" t="inlineStr">
        <is>
          <t>En curso</t>
        </is>
      </c>
      <c r="F60" s="8" t="n">
        <v>0</v>
      </c>
      <c r="G60" s="26" t="inlineStr">
        <is>
          <t>Pendiente</t>
        </is>
      </c>
      <c r="H60" s="8" t="n">
        <v>4</v>
      </c>
    </row>
    <row r="61">
      <c r="A61" s="4" t="inlineStr">
        <is>
          <t>ID</t>
        </is>
      </c>
      <c r="B61" s="4" t="inlineStr">
        <is>
          <t>Título</t>
        </is>
      </c>
      <c r="C61" s="4" t="inlineStr">
        <is>
          <t>Prioridad</t>
        </is>
      </c>
      <c r="D61" s="4" t="inlineStr">
        <is>
          <t>Owner</t>
        </is>
      </c>
      <c r="E61" s="4" t="inlineStr">
        <is>
          <t>Estado</t>
        </is>
      </c>
    </row>
    <row r="62" ht="22" customHeight="1">
      <c r="A62" s="5" t="inlineStr">
        <is>
          <t>EVI-001</t>
        </is>
      </c>
      <c r="B62" s="12" t="inlineStr">
        <is>
          <t>Capturas del tablero Trello real</t>
        </is>
      </c>
      <c r="C62" s="24" t="inlineStr">
        <is>
          <t>Media</t>
        </is>
      </c>
      <c r="D62" s="8" t="inlineStr">
        <is>
          <t>Ambos</t>
        </is>
      </c>
      <c r="E62" s="26" t="inlineStr">
        <is>
          <t>Pendiente</t>
        </is>
      </c>
    </row>
    <row r="63" ht="22" customHeight="1">
      <c r="A63" s="5" t="inlineStr">
        <is>
          <t>EVI-004</t>
        </is>
      </c>
      <c r="B63" s="12" t="inlineStr">
        <is>
          <t>Inconsistencia MySQL ↔ MariaDB corregida en PPT</t>
        </is>
      </c>
      <c r="C63" s="24" t="inlineStr">
        <is>
          <t>Media</t>
        </is>
      </c>
      <c r="D63" s="8" t="inlineStr">
        <is>
          <t>Benjamín</t>
        </is>
      </c>
      <c r="E63" s="26" t="inlineStr">
        <is>
          <t>Pendiente</t>
        </is>
      </c>
    </row>
    <row r="64" ht="22" customHeight="1">
      <c r="A64" s="5" t="inlineStr">
        <is>
          <t>EVI-005</t>
        </is>
      </c>
      <c r="B64" s="12" t="inlineStr">
        <is>
          <t>README raiz actualizado con Coherev</t>
        </is>
      </c>
      <c r="C64" s="24" t="inlineStr">
        <is>
          <t>Media</t>
        </is>
      </c>
      <c r="D64" s="8" t="inlineStr">
        <is>
          <t>Ambos</t>
        </is>
      </c>
      <c r="E64" s="26" t="inlineStr">
        <is>
          <t>Pendiente</t>
        </is>
      </c>
    </row>
    <row r="65" ht="22" customHeight="1">
      <c r="A65" s="5" t="inlineStr">
        <is>
          <t>EVI-006</t>
        </is>
      </c>
      <c r="B65" s="12" t="inlineStr">
        <is>
          <t>git tag capstone-v1.0 + entrega final</t>
        </is>
      </c>
      <c r="C65" s="23" t="inlineStr">
        <is>
          <t>Alta</t>
        </is>
      </c>
      <c r="D65" s="8" t="inlineStr">
        <is>
          <t>Ambos</t>
        </is>
      </c>
      <c r="E65" s="26" t="inlineStr">
        <is>
          <t>Pendiente</t>
        </is>
      </c>
    </row>
  </sheetData>
  <mergeCells count="9">
    <mergeCell ref="A9:H9"/>
    <mergeCell ref="A4:H4"/>
    <mergeCell ref="A2:L2"/>
    <mergeCell ref="A21:H21"/>
    <mergeCell ref="A59:H59"/>
    <mergeCell ref="A1:L1"/>
    <mergeCell ref="A41:H41"/>
    <mergeCell ref="A36:H36"/>
    <mergeCell ref="A27:H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85A4A"/>
    <outlinePr summaryBelow="1" summaryRight="1"/>
    <pageSetUpPr/>
  </sheetPr>
  <dimension ref="A1:L6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1" customWidth="1" min="4" max="4"/>
    <col width="12" customWidth="1" min="5" max="5"/>
    <col width="10" customWidth="1" min="6" max="6"/>
    <col width="12" customWidth="1" min="7" max="7"/>
    <col width="10" customWidth="1" min="8" max="8"/>
  </cols>
  <sheetData>
    <row r="1" ht="36" customHeight="1">
      <c r="A1" s="1" t="inlineStr">
        <is>
          <t>Backlog por Épica</t>
        </is>
      </c>
    </row>
    <row r="2" ht="20" customHeight="1">
      <c r="A2" s="2" t="inlineStr">
        <is>
          <t>Agrupado por categoría funcional · SEC, ROL, DOC, BRAND, UX, EVI</t>
        </is>
      </c>
    </row>
    <row r="4">
      <c r="A4" s="3" t="inlineStr">
        <is>
          <t>SEC · Seguridad (SEC-*)</t>
        </is>
      </c>
      <c r="B4" s="28" t="n"/>
      <c r="C4" s="28" t="n"/>
      <c r="D4" s="28" t="n"/>
      <c r="E4" s="28" t="n"/>
      <c r="F4" s="28" t="n"/>
      <c r="G4" s="28" t="n"/>
      <c r="H4" s="29" t="n"/>
    </row>
    <row r="5">
      <c r="A5" s="5" t="inlineStr">
        <is>
          <t>Tarjetas</t>
        </is>
      </c>
      <c r="B5" s="8" t="n">
        <v>8</v>
      </c>
      <c r="C5" s="19" t="inlineStr">
        <is>
          <t>Hecho</t>
        </is>
      </c>
      <c r="D5" s="8" t="n">
        <v>1</v>
      </c>
      <c r="E5" s="24" t="inlineStr">
        <is>
          <t>En curso</t>
        </is>
      </c>
      <c r="F5" s="8" t="n">
        <v>7</v>
      </c>
      <c r="G5" s="26" t="inlineStr">
        <is>
          <t>Pendiente</t>
        </is>
      </c>
      <c r="H5" s="8" t="n">
        <v>0</v>
      </c>
    </row>
    <row r="6">
      <c r="A6" s="4" t="inlineStr">
        <is>
          <t>ID</t>
        </is>
      </c>
      <c r="B6" s="4" t="inlineStr">
        <is>
          <t>Título</t>
        </is>
      </c>
      <c r="C6" s="4" t="inlineStr">
        <is>
          <t>Iteración</t>
        </is>
      </c>
      <c r="D6" s="4" t="inlineStr">
        <is>
          <t>Prioridad</t>
        </is>
      </c>
      <c r="E6" s="4" t="inlineStr">
        <is>
          <t>Estado</t>
        </is>
      </c>
    </row>
    <row r="7" ht="22" customHeight="1">
      <c r="A7" s="5" t="inlineStr">
        <is>
          <t>SEC-000</t>
        </is>
      </c>
      <c r="B7" s="12" t="inlineStr">
        <is>
          <t>Setup monorepo Laravel 13 + Next.js 16</t>
        </is>
      </c>
      <c r="C7" s="22" t="inlineStr">
        <is>
          <t>Iter 0</t>
        </is>
      </c>
      <c r="D7" s="23" t="inlineStr">
        <is>
          <t>Alta</t>
        </is>
      </c>
      <c r="E7" s="19" t="inlineStr">
        <is>
          <t>Hecho</t>
        </is>
      </c>
    </row>
    <row r="8" ht="22" customHeight="1">
      <c r="A8" s="5" t="inlineStr">
        <is>
          <t>SEC-001</t>
        </is>
      </c>
      <c r="B8" s="12" t="inlineStr">
        <is>
          <t>Rate-limit en login (5/min)</t>
        </is>
      </c>
      <c r="C8" s="22" t="inlineStr">
        <is>
          <t>Iter 1</t>
        </is>
      </c>
      <c r="D8" s="23" t="inlineStr">
        <is>
          <t>Alta</t>
        </is>
      </c>
      <c r="E8" s="24" t="inlineStr">
        <is>
          <t>En curso</t>
        </is>
      </c>
    </row>
    <row r="9" ht="22" customHeight="1">
      <c r="A9" s="5" t="inlineStr">
        <is>
          <t>SEC-002</t>
        </is>
      </c>
      <c r="B9" s="12" t="inlineStr">
        <is>
          <t>Middleware admin en UserController</t>
        </is>
      </c>
      <c r="C9" s="22" t="inlineStr">
        <is>
          <t>Iter 1</t>
        </is>
      </c>
      <c r="D9" s="23" t="inlineStr">
        <is>
          <t>Alta</t>
        </is>
      </c>
      <c r="E9" s="24" t="inlineStr">
        <is>
          <t>En curso</t>
        </is>
      </c>
    </row>
    <row r="10" ht="22" customHeight="1">
      <c r="A10" s="5" t="inlineStr">
        <is>
          <t>SEC-003</t>
        </is>
      </c>
      <c r="B10" s="12" t="inlineStr">
        <is>
          <t>Middleware admin en DepartmentController</t>
        </is>
      </c>
      <c r="C10" s="22" t="inlineStr">
        <is>
          <t>Iter 1</t>
        </is>
      </c>
      <c r="D10" s="23" t="inlineStr">
        <is>
          <t>Alta</t>
        </is>
      </c>
      <c r="E10" s="24" t="inlineStr">
        <is>
          <t>En curso</t>
        </is>
      </c>
    </row>
    <row r="11" ht="22" customHeight="1">
      <c r="A11" s="5" t="inlineStr">
        <is>
          <t>SEC-004</t>
        </is>
      </c>
      <c r="B11" s="12" t="inlineStr">
        <is>
          <t>Middleware admin en RoleController</t>
        </is>
      </c>
      <c r="C11" s="22" t="inlineStr">
        <is>
          <t>Iter 1</t>
        </is>
      </c>
      <c r="D11" s="23" t="inlineStr">
        <is>
          <t>Alta</t>
        </is>
      </c>
      <c r="E11" s="24" t="inlineStr">
        <is>
          <t>En curso</t>
        </is>
      </c>
    </row>
    <row r="12" ht="22" customHeight="1">
      <c r="A12" s="5" t="inlineStr">
        <is>
          <t>SEC-005</t>
        </is>
      </c>
      <c r="B12" s="12" t="inlineStr">
        <is>
          <t>DocumentPolicy (admin o dueno)</t>
        </is>
      </c>
      <c r="C12" s="22" t="inlineStr">
        <is>
          <t>Iter 1</t>
        </is>
      </c>
      <c r="D12" s="23" t="inlineStr">
        <is>
          <t>Alta</t>
        </is>
      </c>
      <c r="E12" s="24" t="inlineStr">
        <is>
          <t>En curso</t>
        </is>
      </c>
    </row>
    <row r="13" ht="22" customHeight="1">
      <c r="A13" s="5" t="inlineStr">
        <is>
          <t>SEC-006</t>
        </is>
      </c>
      <c r="B13" s="12" t="inlineStr">
        <is>
          <t>Validar MIME real en uploads</t>
        </is>
      </c>
      <c r="C13" s="22" t="inlineStr">
        <is>
          <t>Iter 1</t>
        </is>
      </c>
      <c r="D13" s="23" t="inlineStr">
        <is>
          <t>Alta</t>
        </is>
      </c>
      <c r="E13" s="24" t="inlineStr">
        <is>
          <t>En curso</t>
        </is>
      </c>
    </row>
    <row r="14" ht="22" customHeight="1">
      <c r="A14" s="5" t="inlineStr">
        <is>
          <t>SEC-007</t>
        </is>
      </c>
      <c r="B14" s="12" t="inlineStr">
        <is>
          <t>Conectar tabla message_reads</t>
        </is>
      </c>
      <c r="C14" s="22" t="inlineStr">
        <is>
          <t>Iter 2</t>
        </is>
      </c>
      <c r="D14" s="24" t="inlineStr">
        <is>
          <t>Media</t>
        </is>
      </c>
      <c r="E14" s="24" t="inlineStr">
        <is>
          <t>En curso</t>
        </is>
      </c>
    </row>
    <row r="16">
      <c r="A16" s="3" t="inlineStr">
        <is>
          <t>ROL · Roles (ROL-*)</t>
        </is>
      </c>
      <c r="B16" s="28" t="n"/>
      <c r="C16" s="28" t="n"/>
      <c r="D16" s="28" t="n"/>
      <c r="E16" s="28" t="n"/>
      <c r="F16" s="28" t="n"/>
      <c r="G16" s="28" t="n"/>
      <c r="H16" s="29" t="n"/>
    </row>
    <row r="17">
      <c r="A17" s="5" t="inlineStr">
        <is>
          <t>Tarjetas</t>
        </is>
      </c>
      <c r="B17" s="8" t="n">
        <v>3</v>
      </c>
      <c r="C17" s="19" t="inlineStr">
        <is>
          <t>Hecho</t>
        </is>
      </c>
      <c r="D17" s="8" t="n">
        <v>0</v>
      </c>
      <c r="E17" s="24" t="inlineStr">
        <is>
          <t>En curso</t>
        </is>
      </c>
      <c r="F17" s="8" t="n">
        <v>2</v>
      </c>
      <c r="G17" s="26" t="inlineStr">
        <is>
          <t>Pendiente</t>
        </is>
      </c>
      <c r="H17" s="8" t="n">
        <v>1</v>
      </c>
    </row>
    <row r="18">
      <c r="A18" s="4" t="inlineStr">
        <is>
          <t>ID</t>
        </is>
      </c>
      <c r="B18" s="4" t="inlineStr">
        <is>
          <t>Título</t>
        </is>
      </c>
      <c r="C18" s="4" t="inlineStr">
        <is>
          <t>Iteración</t>
        </is>
      </c>
      <c r="D18" s="4" t="inlineStr">
        <is>
          <t>Prioridad</t>
        </is>
      </c>
      <c r="E18" s="4" t="inlineStr">
        <is>
          <t>Estado</t>
        </is>
      </c>
    </row>
    <row r="19" ht="22" customHeight="1">
      <c r="A19" s="5" t="inlineStr">
        <is>
          <t>ROL-001</t>
        </is>
      </c>
      <c r="B19" s="12" t="inlineStr">
        <is>
          <t>Modelar 4 roles canónicos</t>
        </is>
      </c>
      <c r="C19" s="22" t="inlineStr">
        <is>
          <t>Iter 1</t>
        </is>
      </c>
      <c r="D19" s="23" t="inlineStr">
        <is>
          <t>Alta</t>
        </is>
      </c>
      <c r="E19" s="24" t="inlineStr">
        <is>
          <t>En curso</t>
        </is>
      </c>
    </row>
    <row r="20" ht="22" customHeight="1">
      <c r="A20" s="5" t="inlineStr">
        <is>
          <t>ROL-002</t>
        </is>
      </c>
      <c r="B20" s="12" t="inlineStr">
        <is>
          <t>Refactor User::canManageAnnouncements()</t>
        </is>
      </c>
      <c r="C20" s="22" t="inlineStr">
        <is>
          <t>Iter 1</t>
        </is>
      </c>
      <c r="D20" s="23" t="inlineStr">
        <is>
          <t>Alta</t>
        </is>
      </c>
      <c r="E20" s="24" t="inlineStr">
        <is>
          <t>En curso</t>
        </is>
      </c>
    </row>
    <row r="21" ht="22" customHeight="1">
      <c r="A21" s="5" t="inlineStr">
        <is>
          <t>ROL-003</t>
        </is>
      </c>
      <c r="B21" s="12" t="inlineStr">
        <is>
          <t>Sidebar por 4 roles</t>
        </is>
      </c>
      <c r="C21" s="22" t="inlineStr">
        <is>
          <t>Iter 2</t>
        </is>
      </c>
      <c r="D21" s="23" t="inlineStr">
        <is>
          <t>Alta</t>
        </is>
      </c>
      <c r="E21" s="26" t="inlineStr">
        <is>
          <t>Pendiente</t>
        </is>
      </c>
    </row>
    <row r="23">
      <c r="A23" s="3" t="inlineStr">
        <is>
          <t>DOC · Documentación (DOC-*)</t>
        </is>
      </c>
      <c r="B23" s="28" t="n"/>
      <c r="C23" s="28" t="n"/>
      <c r="D23" s="28" t="n"/>
      <c r="E23" s="28" t="n"/>
      <c r="F23" s="28" t="n"/>
      <c r="G23" s="28" t="n"/>
      <c r="H23" s="29" t="n"/>
    </row>
    <row r="24">
      <c r="A24" s="5" t="inlineStr">
        <is>
          <t>Tarjetas</t>
        </is>
      </c>
      <c r="B24" s="8" t="n">
        <v>5</v>
      </c>
      <c r="C24" s="19" t="inlineStr">
        <is>
          <t>Hecho</t>
        </is>
      </c>
      <c r="D24" s="8" t="n">
        <v>0</v>
      </c>
      <c r="E24" s="24" t="inlineStr">
        <is>
          <t>En curso</t>
        </is>
      </c>
      <c r="F24" s="8" t="n">
        <v>0</v>
      </c>
      <c r="G24" s="26" t="inlineStr">
        <is>
          <t>Pendiente</t>
        </is>
      </c>
      <c r="H24" s="8" t="n">
        <v>5</v>
      </c>
    </row>
    <row r="25">
      <c r="A25" s="4" t="inlineStr">
        <is>
          <t>ID</t>
        </is>
      </c>
      <c r="B25" s="4" t="inlineStr">
        <is>
          <t>Título</t>
        </is>
      </c>
      <c r="C25" s="4" t="inlineStr">
        <is>
          <t>Iteración</t>
        </is>
      </c>
      <c r="D25" s="4" t="inlineStr">
        <is>
          <t>Prioridad</t>
        </is>
      </c>
      <c r="E25" s="4" t="inlineStr">
        <is>
          <t>Estado</t>
        </is>
      </c>
    </row>
    <row r="26" ht="22" customHeight="1">
      <c r="A26" s="5" t="inlineStr">
        <is>
          <t>DOC-001</t>
        </is>
      </c>
      <c r="B26" s="12" t="inlineStr">
        <is>
          <t>Diagrama de arquitectura (Markdown)</t>
        </is>
      </c>
      <c r="C26" s="22" t="inlineStr">
        <is>
          <t>Iter 3</t>
        </is>
      </c>
      <c r="D26" s="24" t="inlineStr">
        <is>
          <t>Media</t>
        </is>
      </c>
      <c r="E26" s="26" t="inlineStr">
        <is>
          <t>Pendiente</t>
        </is>
      </c>
    </row>
    <row r="27" ht="22" customHeight="1">
      <c r="A27" s="5" t="inlineStr">
        <is>
          <t>DOC-002</t>
        </is>
      </c>
      <c r="B27" s="12" t="inlineStr">
        <is>
          <t>Diagrama ER de la BD</t>
        </is>
      </c>
      <c r="C27" s="22" t="inlineStr">
        <is>
          <t>Iter 3</t>
        </is>
      </c>
      <c r="D27" s="24" t="inlineStr">
        <is>
          <t>Media</t>
        </is>
      </c>
      <c r="E27" s="26" t="inlineStr">
        <is>
          <t>Pendiente</t>
        </is>
      </c>
    </row>
    <row r="28" ht="22" customHeight="1">
      <c r="A28" s="5" t="inlineStr">
        <is>
          <t>DOC-003</t>
        </is>
      </c>
      <c r="B28" s="12" t="inlineStr">
        <is>
          <t>Documento de RF y RNF</t>
        </is>
      </c>
      <c r="C28" s="22" t="inlineStr">
        <is>
          <t>Iter 3</t>
        </is>
      </c>
      <c r="D28" s="24" t="inlineStr">
        <is>
          <t>Media</t>
        </is>
      </c>
      <c r="E28" s="26" t="inlineStr">
        <is>
          <t>Pendiente</t>
        </is>
      </c>
    </row>
    <row r="29" ht="22" customHeight="1">
      <c r="A29" s="5" t="inlineStr">
        <is>
          <t>DOC-004</t>
        </is>
      </c>
      <c r="B29" s="12" t="inlineStr">
        <is>
          <t>Historias de usuario</t>
        </is>
      </c>
      <c r="C29" s="22" t="inlineStr">
        <is>
          <t>Iter 3</t>
        </is>
      </c>
      <c r="D29" s="24" t="inlineStr">
        <is>
          <t>Media</t>
        </is>
      </c>
      <c r="E29" s="26" t="inlineStr">
        <is>
          <t>Pendiente</t>
        </is>
      </c>
    </row>
    <row r="30" ht="22" customHeight="1">
      <c r="A30" s="5" t="inlineStr">
        <is>
          <t>DOC-005</t>
        </is>
      </c>
      <c r="B30" s="12" t="inlineStr">
        <is>
          <t>Matriz de trazabilidad</t>
        </is>
      </c>
      <c r="C30" s="22" t="inlineStr">
        <is>
          <t>Iter 3</t>
        </is>
      </c>
      <c r="D30" s="24" t="inlineStr">
        <is>
          <t>Media</t>
        </is>
      </c>
      <c r="E30" s="26" t="inlineStr">
        <is>
          <t>Pendiente</t>
        </is>
      </c>
    </row>
    <row r="32">
      <c r="A32" s="3" t="inlineStr">
        <is>
          <t>BRAND · Branding (BRAND-*)</t>
        </is>
      </c>
      <c r="B32" s="28" t="n"/>
      <c r="C32" s="28" t="n"/>
      <c r="D32" s="28" t="n"/>
      <c r="E32" s="28" t="n"/>
      <c r="F32" s="28" t="n"/>
      <c r="G32" s="28" t="n"/>
      <c r="H32" s="29" t="n"/>
    </row>
    <row r="33">
      <c r="A33" s="5" t="inlineStr">
        <is>
          <t>Tarjetas</t>
        </is>
      </c>
      <c r="B33" s="8" t="n">
        <v>10</v>
      </c>
      <c r="C33" s="19" t="inlineStr">
        <is>
          <t>Hecho</t>
        </is>
      </c>
      <c r="D33" s="8" t="n">
        <v>0</v>
      </c>
      <c r="E33" s="24" t="inlineStr">
        <is>
          <t>En curso</t>
        </is>
      </c>
      <c r="F33" s="8" t="n">
        <v>0</v>
      </c>
      <c r="G33" s="26" t="inlineStr">
        <is>
          <t>Pendiente</t>
        </is>
      </c>
      <c r="H33" s="8" t="n">
        <v>10</v>
      </c>
    </row>
    <row r="34">
      <c r="A34" s="4" t="inlineStr">
        <is>
          <t>ID</t>
        </is>
      </c>
      <c r="B34" s="4" t="inlineStr">
        <is>
          <t>Título</t>
        </is>
      </c>
      <c r="C34" s="4" t="inlineStr">
        <is>
          <t>Iteración</t>
        </is>
      </c>
      <c r="D34" s="4" t="inlineStr">
        <is>
          <t>Prioridad</t>
        </is>
      </c>
      <c r="E34" s="4" t="inlineStr">
        <is>
          <t>Estado</t>
        </is>
      </c>
    </row>
    <row r="35" ht="22" customHeight="1">
      <c r="A35" s="5" t="inlineStr">
        <is>
          <t>BRAND-001</t>
        </is>
      </c>
      <c r="B35" s="12" t="inlineStr">
        <is>
          <t>Wordmark + isotipo + tagline Coherev</t>
        </is>
      </c>
      <c r="C35" s="22" t="inlineStr">
        <is>
          <t>Iter 5</t>
        </is>
      </c>
      <c r="D35" s="23" t="inlineStr">
        <is>
          <t>Alta</t>
        </is>
      </c>
      <c r="E35" s="26" t="inlineStr">
        <is>
          <t>Pendiente</t>
        </is>
      </c>
    </row>
    <row r="36" ht="22" customHeight="1">
      <c r="A36" s="5" t="inlineStr">
        <is>
          <t>BRAND-002</t>
        </is>
      </c>
      <c r="B36" s="12" t="inlineStr">
        <is>
          <t>Refinar tokens CSS (mantener paleta)</t>
        </is>
      </c>
      <c r="C36" s="22" t="inlineStr">
        <is>
          <t>Iter 5</t>
        </is>
      </c>
      <c r="D36" s="23" t="inlineStr">
        <is>
          <t>Alta</t>
        </is>
      </c>
      <c r="E36" s="26" t="inlineStr">
        <is>
          <t>Pendiente</t>
        </is>
      </c>
    </row>
    <row r="37" ht="22" customHeight="1">
      <c r="A37" s="5" t="inlineStr">
        <is>
          <t>BRAND-003</t>
        </is>
      </c>
      <c r="B37" s="12" t="inlineStr">
        <is>
          <t>Rebranding del login</t>
        </is>
      </c>
      <c r="C37" s="22" t="inlineStr">
        <is>
          <t>Iter 5</t>
        </is>
      </c>
      <c r="D37" s="23" t="inlineStr">
        <is>
          <t>Alta</t>
        </is>
      </c>
      <c r="E37" s="26" t="inlineStr">
        <is>
          <t>Pendiente</t>
        </is>
      </c>
    </row>
    <row r="38" ht="22" customHeight="1">
      <c r="A38" s="5" t="inlineStr">
        <is>
          <t>BRAND-004</t>
        </is>
      </c>
      <c r="B38" s="12" t="inlineStr">
        <is>
          <t>Rebranding del sidebar</t>
        </is>
      </c>
      <c r="C38" s="22" t="inlineStr">
        <is>
          <t>Iter 5</t>
        </is>
      </c>
      <c r="D38" s="23" t="inlineStr">
        <is>
          <t>Alta</t>
        </is>
      </c>
      <c r="E38" s="26" t="inlineStr">
        <is>
          <t>Pendiente</t>
        </is>
      </c>
    </row>
    <row r="39" ht="22" customHeight="1">
      <c r="A39" s="5" t="inlineStr">
        <is>
          <t>BRAND-005</t>
        </is>
      </c>
      <c r="B39" s="12" t="inlineStr">
        <is>
          <t>Rebranding del dashboard (Inicio)</t>
        </is>
      </c>
      <c r="C39" s="22" t="inlineStr">
        <is>
          <t>Iter 5</t>
        </is>
      </c>
      <c r="D39" s="23" t="inlineStr">
        <is>
          <t>Alta</t>
        </is>
      </c>
      <c r="E39" s="26" t="inlineStr">
        <is>
          <t>Pendiente</t>
        </is>
      </c>
    </row>
    <row r="40" ht="22" customHeight="1">
      <c r="A40" s="5" t="inlineStr">
        <is>
          <t>BRAND-006</t>
        </is>
      </c>
      <c r="B40" s="12" t="inlineStr">
        <is>
          <t>Rebranding de páginas internas</t>
        </is>
      </c>
      <c r="C40" s="22" t="inlineStr">
        <is>
          <t>Iter 5</t>
        </is>
      </c>
      <c r="D40" s="23" t="inlineStr">
        <is>
          <t>Alta</t>
        </is>
      </c>
      <c r="E40" s="26" t="inlineStr">
        <is>
          <t>Pendiente</t>
        </is>
      </c>
    </row>
    <row r="41" ht="22" customHeight="1">
      <c r="A41" s="5" t="inlineStr">
        <is>
          <t>BRAND-007</t>
        </is>
      </c>
      <c r="B41" s="12" t="inlineStr">
        <is>
          <t>Voice &amp; tone Coherev + microcopy</t>
        </is>
      </c>
      <c r="C41" s="22" t="inlineStr">
        <is>
          <t>Iter 5</t>
        </is>
      </c>
      <c r="D41" s="24" t="inlineStr">
        <is>
          <t>Media</t>
        </is>
      </c>
      <c r="E41" s="26" t="inlineStr">
        <is>
          <t>Pendiente</t>
        </is>
      </c>
    </row>
    <row r="42" ht="22" customHeight="1">
      <c r="A42" s="5" t="inlineStr">
        <is>
          <t>BRAND-008</t>
        </is>
      </c>
      <c r="B42" s="12" t="inlineStr">
        <is>
          <t>Onboarding tour con marca</t>
        </is>
      </c>
      <c r="C42" s="22" t="inlineStr">
        <is>
          <t>Iter 5</t>
        </is>
      </c>
      <c r="D42" s="24" t="inlineStr">
        <is>
          <t>Media</t>
        </is>
      </c>
      <c r="E42" s="26" t="inlineStr">
        <is>
          <t>Pendiente</t>
        </is>
      </c>
    </row>
    <row r="43" ht="22" customHeight="1">
      <c r="A43" s="5" t="inlineStr">
        <is>
          <t>BRAND-009</t>
        </is>
      </c>
      <c r="B43" s="12" t="inlineStr">
        <is>
          <t>Favicon, metadata y 404 branded</t>
        </is>
      </c>
      <c r="C43" s="22" t="inlineStr">
        <is>
          <t>Iter 5</t>
        </is>
      </c>
      <c r="D43" s="24" t="inlineStr">
        <is>
          <t>Media</t>
        </is>
      </c>
      <c r="E43" s="26" t="inlineStr">
        <is>
          <t>Pendiente</t>
        </is>
      </c>
    </row>
    <row r="44" ht="22" customHeight="1">
      <c r="A44" s="5" t="inlineStr">
        <is>
          <t>BRAND-010</t>
        </is>
      </c>
      <c r="B44" s="12" t="inlineStr">
        <is>
          <t>Empty states ilustrados</t>
        </is>
      </c>
      <c r="C44" s="22" t="inlineStr">
        <is>
          <t>Iter 5</t>
        </is>
      </c>
      <c r="D44" s="24" t="inlineStr">
        <is>
          <t>Media</t>
        </is>
      </c>
      <c r="E44" s="26" t="inlineStr">
        <is>
          <t>Pendiente</t>
        </is>
      </c>
    </row>
    <row r="46">
      <c r="A46" s="3" t="inlineStr">
        <is>
          <t>UX · UX técnico (UX-*)</t>
        </is>
      </c>
      <c r="B46" s="28" t="n"/>
      <c r="C46" s="28" t="n"/>
      <c r="D46" s="28" t="n"/>
      <c r="E46" s="28" t="n"/>
      <c r="F46" s="28" t="n"/>
      <c r="G46" s="28" t="n"/>
      <c r="H46" s="29" t="n"/>
    </row>
    <row r="47">
      <c r="A47" s="5" t="inlineStr">
        <is>
          <t>Tarjetas</t>
        </is>
      </c>
      <c r="B47" s="8" t="n">
        <v>4</v>
      </c>
      <c r="C47" s="19" t="inlineStr">
        <is>
          <t>Hecho</t>
        </is>
      </c>
      <c r="D47" s="8" t="n">
        <v>0</v>
      </c>
      <c r="E47" s="24" t="inlineStr">
        <is>
          <t>En curso</t>
        </is>
      </c>
      <c r="F47" s="8" t="n">
        <v>0</v>
      </c>
      <c r="G47" s="26" t="inlineStr">
        <is>
          <t>Pendiente</t>
        </is>
      </c>
      <c r="H47" s="8" t="n">
        <v>4</v>
      </c>
    </row>
    <row r="48">
      <c r="A48" s="4" t="inlineStr">
        <is>
          <t>ID</t>
        </is>
      </c>
      <c r="B48" s="4" t="inlineStr">
        <is>
          <t>Título</t>
        </is>
      </c>
      <c r="C48" s="4" t="inlineStr">
        <is>
          <t>Iteración</t>
        </is>
      </c>
      <c r="D48" s="4" t="inlineStr">
        <is>
          <t>Prioridad</t>
        </is>
      </c>
      <c r="E48" s="4" t="inlineStr">
        <is>
          <t>Estado</t>
        </is>
      </c>
    </row>
    <row r="49" ht="22" customHeight="1">
      <c r="A49" s="5" t="inlineStr">
        <is>
          <t>UX-001</t>
        </is>
      </c>
      <c r="B49" s="12" t="inlineStr">
        <is>
          <t>Sidebar móvil (drawer)</t>
        </is>
      </c>
      <c r="C49" s="22" t="inlineStr">
        <is>
          <t>Iter 5</t>
        </is>
      </c>
      <c r="D49" s="24" t="inlineStr">
        <is>
          <t>Media</t>
        </is>
      </c>
      <c r="E49" s="26" t="inlineStr">
        <is>
          <t>Pendiente</t>
        </is>
      </c>
    </row>
    <row r="50" ht="22" customHeight="1">
      <c r="A50" s="5" t="inlineStr">
        <is>
          <t>UX-002</t>
        </is>
      </c>
      <c r="B50" s="12" t="inlineStr">
        <is>
          <t>Accesibilidad WCAG AA</t>
        </is>
      </c>
      <c r="C50" s="22" t="inlineStr">
        <is>
          <t>Iter 5</t>
        </is>
      </c>
      <c r="D50" s="24" t="inlineStr">
        <is>
          <t>Media</t>
        </is>
      </c>
      <c r="E50" s="26" t="inlineStr">
        <is>
          <t>Pendiente</t>
        </is>
      </c>
    </row>
    <row r="51" ht="22" customHeight="1">
      <c r="A51" s="5" t="inlineStr">
        <is>
          <t>UX-003</t>
        </is>
      </c>
      <c r="B51" s="12" t="inlineStr">
        <is>
          <t>Errores por campo</t>
        </is>
      </c>
      <c r="C51" s="22" t="inlineStr">
        <is>
          <t>Iter 5</t>
        </is>
      </c>
      <c r="D51" s="24" t="inlineStr">
        <is>
          <t>Media</t>
        </is>
      </c>
      <c r="E51" s="26" t="inlineStr">
        <is>
          <t>Pendiente</t>
        </is>
      </c>
    </row>
    <row r="52" ht="22" customHeight="1">
      <c r="A52" s="5" t="inlineStr">
        <is>
          <t>UX-004</t>
        </is>
      </c>
      <c r="B52" s="12" t="inlineStr">
        <is>
          <t>Vista móvil del chat mejorada</t>
        </is>
      </c>
      <c r="C52" s="22" t="inlineStr">
        <is>
          <t>Iter 5</t>
        </is>
      </c>
      <c r="D52" s="24" t="inlineStr">
        <is>
          <t>Media</t>
        </is>
      </c>
      <c r="E52" s="26" t="inlineStr">
        <is>
          <t>Pendiente</t>
        </is>
      </c>
    </row>
    <row r="54">
      <c r="A54" s="3" t="inlineStr">
        <is>
          <t>EVI · Evidencia / Cierre (EVI-*)</t>
        </is>
      </c>
      <c r="B54" s="28" t="n"/>
      <c r="C54" s="28" t="n"/>
      <c r="D54" s="28" t="n"/>
      <c r="E54" s="28" t="n"/>
      <c r="F54" s="28" t="n"/>
      <c r="G54" s="28" t="n"/>
      <c r="H54" s="29" t="n"/>
    </row>
    <row r="55">
      <c r="A55" s="5" t="inlineStr">
        <is>
          <t>Tarjetas</t>
        </is>
      </c>
      <c r="B55" s="8" t="n">
        <v>5</v>
      </c>
      <c r="C55" s="19" t="inlineStr">
        <is>
          <t>Hecho</t>
        </is>
      </c>
      <c r="D55" s="8" t="n">
        <v>0</v>
      </c>
      <c r="E55" s="24" t="inlineStr">
        <is>
          <t>En curso</t>
        </is>
      </c>
      <c r="F55" s="8" t="n">
        <v>0</v>
      </c>
      <c r="G55" s="26" t="inlineStr">
        <is>
          <t>Pendiente</t>
        </is>
      </c>
      <c r="H55" s="8" t="n">
        <v>5</v>
      </c>
    </row>
    <row r="56">
      <c r="A56" s="4" t="inlineStr">
        <is>
          <t>ID</t>
        </is>
      </c>
      <c r="B56" s="4" t="inlineStr">
        <is>
          <t>Título</t>
        </is>
      </c>
      <c r="C56" s="4" t="inlineStr">
        <is>
          <t>Iteración</t>
        </is>
      </c>
      <c r="D56" s="4" t="inlineStr">
        <is>
          <t>Prioridad</t>
        </is>
      </c>
      <c r="E56" s="4" t="inlineStr">
        <is>
          <t>Estado</t>
        </is>
      </c>
    </row>
    <row r="57" ht="22" customHeight="1">
      <c r="A57" s="5" t="inlineStr">
        <is>
          <t>EVI-001</t>
        </is>
      </c>
      <c r="B57" s="12" t="inlineStr">
        <is>
          <t>Capturas del tablero Trello real</t>
        </is>
      </c>
      <c r="C57" s="22" t="inlineStr">
        <is>
          <t>Iter 6</t>
        </is>
      </c>
      <c r="D57" s="24" t="inlineStr">
        <is>
          <t>Media</t>
        </is>
      </c>
      <c r="E57" s="26" t="inlineStr">
        <is>
          <t>Pendiente</t>
        </is>
      </c>
    </row>
    <row r="58" ht="22" customHeight="1">
      <c r="A58" s="5" t="inlineStr">
        <is>
          <t>EVI-002</t>
        </is>
      </c>
      <c r="B58" s="12" t="inlineStr">
        <is>
          <t>Acta de pruebas con usuarios</t>
        </is>
      </c>
      <c r="C58" s="22" t="inlineStr">
        <is>
          <t>Iter 4</t>
        </is>
      </c>
      <c r="D58" s="24" t="inlineStr">
        <is>
          <t>Media</t>
        </is>
      </c>
      <c r="E58" s="26" t="inlineStr">
        <is>
          <t>Pendiente</t>
        </is>
      </c>
    </row>
    <row r="59" ht="22" customHeight="1">
      <c r="A59" s="5" t="inlineStr">
        <is>
          <t>EVI-004</t>
        </is>
      </c>
      <c r="B59" s="12" t="inlineStr">
        <is>
          <t>Inconsistencia MySQL ↔ MariaDB corregida en PPT</t>
        </is>
      </c>
      <c r="C59" s="22" t="inlineStr">
        <is>
          <t>Iter 6</t>
        </is>
      </c>
      <c r="D59" s="24" t="inlineStr">
        <is>
          <t>Media</t>
        </is>
      </c>
      <c r="E59" s="26" t="inlineStr">
        <is>
          <t>Pendiente</t>
        </is>
      </c>
    </row>
    <row r="60" ht="22" customHeight="1">
      <c r="A60" s="5" t="inlineStr">
        <is>
          <t>EVI-005</t>
        </is>
      </c>
      <c r="B60" s="12" t="inlineStr">
        <is>
          <t>README raiz actualizado con Coherev</t>
        </is>
      </c>
      <c r="C60" s="22" t="inlineStr">
        <is>
          <t>Iter 6</t>
        </is>
      </c>
      <c r="D60" s="24" t="inlineStr">
        <is>
          <t>Media</t>
        </is>
      </c>
      <c r="E60" s="26" t="inlineStr">
        <is>
          <t>Pendiente</t>
        </is>
      </c>
    </row>
    <row r="61" ht="22" customHeight="1">
      <c r="A61" s="5" t="inlineStr">
        <is>
          <t>EVI-006</t>
        </is>
      </c>
      <c r="B61" s="12" t="inlineStr">
        <is>
          <t>git tag capstone-v1.0 + entrega final</t>
        </is>
      </c>
      <c r="C61" s="22" t="inlineStr">
        <is>
          <t>Iter 6</t>
        </is>
      </c>
      <c r="D61" s="23" t="inlineStr">
        <is>
          <t>Alta</t>
        </is>
      </c>
      <c r="E61" s="26" t="inlineStr">
        <is>
          <t>Pendiente</t>
        </is>
      </c>
    </row>
  </sheetData>
  <mergeCells count="8">
    <mergeCell ref="A4:H4"/>
    <mergeCell ref="A2:L2"/>
    <mergeCell ref="A46:H46"/>
    <mergeCell ref="A16:H16"/>
    <mergeCell ref="A1:L1"/>
    <mergeCell ref="A54:H54"/>
    <mergeCell ref="A23:H23"/>
    <mergeCell ref="A32:H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88888"/>
    <outlinePr summaryBelow="1" summaryRight="1"/>
    <pageSetUpPr/>
  </sheetPr>
  <dimension ref="A1:L3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20" customWidth="1" min="3" max="3"/>
    <col width="30" customWidth="1" min="4" max="4"/>
  </cols>
  <sheetData>
    <row r="1" ht="36" customHeight="1">
      <c r="A1" s="1" t="inlineStr">
        <is>
          <t>Diccionario del Backlog</t>
        </is>
      </c>
    </row>
    <row r="2" ht="20" customHeight="1">
      <c r="A2" s="2" t="inlineStr">
        <is>
          <t>Convenciones, IDs y reglas del Product Backlog de Coherev</t>
        </is>
      </c>
    </row>
    <row r="4">
      <c r="A4" s="3" t="inlineStr">
        <is>
          <t>Convención de IDs</t>
        </is>
      </c>
      <c r="B4" s="28" t="n"/>
      <c r="C4" s="28" t="n"/>
      <c r="D4" s="29" t="n"/>
    </row>
    <row r="5">
      <c r="A5" s="4" t="inlineStr">
        <is>
          <t>Prefijo</t>
        </is>
      </c>
      <c r="B5" s="4" t="inlineStr">
        <is>
          <t>Significado</t>
        </is>
      </c>
      <c r="C5" s="4" t="inlineStr">
        <is>
          <t>Iteración</t>
        </is>
      </c>
      <c r="D5" s="4" t="inlineStr">
        <is>
          <t>Total</t>
        </is>
      </c>
    </row>
    <row r="6">
      <c r="A6" s="5" t="inlineStr">
        <is>
          <t>SEC-***</t>
        </is>
      </c>
      <c r="B6" s="12" t="inlineStr">
        <is>
          <t>Seguridad (rate-limit, autorización, MIME, message_reads)</t>
        </is>
      </c>
      <c r="C6" s="8" t="inlineStr">
        <is>
          <t>Iter 1-2</t>
        </is>
      </c>
      <c r="D6" s="8">
        <f>COUNTIF(Backlog!B6:B1000,"SEC")</f>
        <v/>
      </c>
    </row>
    <row r="7">
      <c r="A7" s="5" t="inlineStr">
        <is>
          <t>ROL-***</t>
        </is>
      </c>
      <c r="B7" s="12" t="inlineStr">
        <is>
          <t>Roles (4 roles canónicos, sidebar, canManageAnnouncements)</t>
        </is>
      </c>
      <c r="C7" s="8" t="inlineStr">
        <is>
          <t>Iter 1-2</t>
        </is>
      </c>
      <c r="D7" s="8">
        <f>COUNTIF(Backlog!B6:B1000,"ROL")</f>
        <v/>
      </c>
    </row>
    <row r="8">
      <c r="A8" s="5" t="inlineStr">
        <is>
          <t>DOC-***</t>
        </is>
      </c>
      <c r="B8" s="12" t="inlineStr">
        <is>
          <t>Documentación (ARQ, ER, RF, HU, TRAZ)</t>
        </is>
      </c>
      <c r="C8" s="8" t="inlineStr">
        <is>
          <t>Iter 3</t>
        </is>
      </c>
      <c r="D8" s="8">
        <f>COUNTIF(Backlog!B6:B1000,"DOC")</f>
        <v/>
      </c>
    </row>
    <row r="9">
      <c r="A9" s="5" t="inlineStr">
        <is>
          <t>BRAND-***</t>
        </is>
      </c>
      <c r="B9" s="12" t="inlineStr">
        <is>
          <t>Branding Coherev (identidad, voice &amp; tone, microcopy)</t>
        </is>
      </c>
      <c r="C9" s="8" t="inlineStr">
        <is>
          <t>Iter 5</t>
        </is>
      </c>
      <c r="D9" s="8">
        <f>COUNTIF(Backlog!B6:B1000,"BRAND")</f>
        <v/>
      </c>
    </row>
    <row r="10">
      <c r="A10" s="5" t="inlineStr">
        <is>
          <t>UX-***</t>
        </is>
      </c>
      <c r="B10" s="12" t="inlineStr">
        <is>
          <t>UX técnico (responsive, accesibilidad, formularios)</t>
        </is>
      </c>
      <c r="C10" s="8" t="inlineStr">
        <is>
          <t>Iter 5</t>
        </is>
      </c>
      <c r="D10" s="8">
        <f>COUNTIF(Backlog!B6:B1000,"UX")</f>
        <v/>
      </c>
    </row>
    <row r="11">
      <c r="A11" s="5" t="inlineStr">
        <is>
          <t>EVI-***</t>
        </is>
      </c>
      <c r="B11" s="12" t="inlineStr">
        <is>
          <t>Evidencia / Cierre (capturas, acta, entrega)</t>
        </is>
      </c>
      <c r="C11" s="8" t="inlineStr">
        <is>
          <t>Iter 4-6</t>
        </is>
      </c>
      <c r="D11" s="8">
        <f>COUNTIF(Backlog!B6:B1000,"EVI")</f>
        <v/>
      </c>
    </row>
    <row r="12">
      <c r="A12" s="5" t="inlineStr">
        <is>
          <t>MOD-***</t>
        </is>
      </c>
      <c r="B12" s="12" t="inlineStr">
        <is>
          <t>Módulos faltantes (Tareas, Directorio, Novedades)</t>
        </is>
      </c>
      <c r="C12" s="8" t="inlineStr">
        <is>
          <t>Iter 2</t>
        </is>
      </c>
      <c r="D12" s="8" t="inlineStr">
        <is>
          <t>0 (en ROADMAP)</t>
        </is>
      </c>
    </row>
    <row r="15">
      <c r="A15" s="3" t="inlineStr">
        <is>
          <t>Estados</t>
        </is>
      </c>
      <c r="B15" s="28" t="n"/>
      <c r="C15" s="28" t="n"/>
      <c r="D15" s="29" t="n"/>
    </row>
    <row r="16">
      <c r="A16" s="4" t="inlineStr">
        <is>
          <t>Estado</t>
        </is>
      </c>
      <c r="B16" s="4" t="inlineStr">
        <is>
          <t>Significado</t>
        </is>
      </c>
      <c r="C16" s="4" t="inlineStr">
        <is>
          <t>Color</t>
        </is>
      </c>
      <c r="D16" s="4" t="inlineStr">
        <is>
          <t>DoD</t>
        </is>
      </c>
    </row>
    <row r="17" ht="40" customHeight="1">
      <c r="A17" s="7" t="inlineStr">
        <is>
          <t>Hecho</t>
        </is>
      </c>
      <c r="B17" s="12" t="inlineStr">
        <is>
          <t>Tarjeta cerrada y verificada</t>
        </is>
      </c>
      <c r="C17" s="8" t="inlineStr">
        <is>
          <t>Verde</t>
        </is>
      </c>
      <c r="D17" s="12" t="inlineStr">
        <is>
          <t>Tests pasan + tarjeta movida en Trello + BACKLOG.md actualizado con fecha</t>
        </is>
      </c>
    </row>
    <row r="18" ht="40" customHeight="1">
      <c r="A18" s="10" t="inlineStr">
        <is>
          <t>En curso</t>
        </is>
      </c>
      <c r="B18" s="12" t="inlineStr">
        <is>
          <t>Tarjeta activa, en desarrollo</t>
        </is>
      </c>
      <c r="C18" s="8" t="inlineStr">
        <is>
          <t>Naranja</t>
        </is>
      </c>
      <c r="D18" s="12" t="inlineStr">
        <is>
          <t>WIP respetado (&lt;= 3 por persona), daily sync reporta avance</t>
        </is>
      </c>
    </row>
    <row r="19" ht="40" customHeight="1">
      <c r="A19" s="11" t="inlineStr">
        <is>
          <t>Pendiente</t>
        </is>
      </c>
      <c r="B19" s="12" t="inlineStr">
        <is>
          <t>Tarjeta en backlog, no iniciada</t>
        </is>
      </c>
      <c r="C19" s="8" t="inlineStr">
        <is>
          <t>Gris</t>
        </is>
      </c>
      <c r="D19" s="12" t="inlineStr">
        <is>
          <t>Sin DoD específico aún, espera iteración futura</t>
        </is>
      </c>
    </row>
    <row r="21">
      <c r="A21" s="3" t="inlineStr">
        <is>
          <t>Prioridades</t>
        </is>
      </c>
      <c r="B21" s="28" t="n"/>
      <c r="C21" s="28" t="n"/>
      <c r="D21" s="29" t="n"/>
    </row>
    <row r="22">
      <c r="A22" s="4" t="inlineStr">
        <is>
          <t>Prioridad</t>
        </is>
      </c>
      <c r="B22" s="4" t="inlineStr">
        <is>
          <t>Significado</t>
        </is>
      </c>
      <c r="C22" s="4" t="inlineStr">
        <is>
          <t>Estimación (h)</t>
        </is>
      </c>
      <c r="D22" s="4" t="inlineStr">
        <is>
          <t>Color</t>
        </is>
      </c>
    </row>
    <row r="23" ht="36" customHeight="1">
      <c r="A23" s="23" t="inlineStr">
        <is>
          <t>Alta</t>
        </is>
      </c>
      <c r="B23" s="12" t="inlineStr">
        <is>
          <t>Bloqueante, crítico, retrasa otras</t>
        </is>
      </c>
      <c r="C23" s="8" t="inlineStr">
        <is>
          <t>S &lt;= 3h / M 3-8h / L &gt; 8h</t>
        </is>
      </c>
      <c r="D23" s="8" t="inlineStr">
        <is>
          <t>Rojo</t>
        </is>
      </c>
    </row>
    <row r="24" ht="36" customHeight="1">
      <c r="A24" s="24" t="inlineStr">
        <is>
          <t>Media</t>
        </is>
      </c>
      <c r="B24" s="12" t="inlineStr">
        <is>
          <t>Importante pero no bloqueante</t>
        </is>
      </c>
      <c r="C24" s="8" t="inlineStr">
        <is>
          <t>S &lt;= 3h / M 3-8h / L &gt; 8h</t>
        </is>
      </c>
      <c r="D24" s="8" t="inlineStr">
        <is>
          <t>Naranja</t>
        </is>
      </c>
    </row>
    <row r="25" ht="36" customHeight="1">
      <c r="A25" s="26" t="inlineStr">
        <is>
          <t>Baja</t>
        </is>
      </c>
      <c r="B25" s="12" t="inlineStr">
        <is>
          <t>Nice-to-have, puede esperar</t>
        </is>
      </c>
      <c r="C25" s="8" t="inlineStr">
        <is>
          <t>S &lt;= 3h / M 3-8h / L &gt; 8h</t>
        </is>
      </c>
      <c r="D25" s="8" t="inlineStr">
        <is>
          <t>Gris</t>
        </is>
      </c>
    </row>
    <row r="27">
      <c r="A27" s="3" t="inlineStr">
        <is>
          <t>Estimación (T-Shirt Sizes)</t>
        </is>
      </c>
      <c r="B27" s="28" t="n"/>
      <c r="C27" s="28" t="n"/>
      <c r="D27" s="29" t="n"/>
    </row>
    <row r="28">
      <c r="A28" s="4" t="inlineStr">
        <is>
          <t>Tag</t>
        </is>
      </c>
      <c r="B28" s="4" t="inlineStr">
        <is>
          <t>Rango</t>
        </is>
      </c>
      <c r="C28" s="4" t="inlineStr">
        <is>
          <t>Recomendado</t>
        </is>
      </c>
      <c r="D28" s="4" t="inlineStr">
        <is>
          <t>Notas</t>
        </is>
      </c>
    </row>
    <row r="29" ht="36" customHeight="1">
      <c r="A29" s="27" t="inlineStr">
        <is>
          <t>S</t>
        </is>
      </c>
      <c r="B29" s="8" t="inlineStr">
        <is>
          <t>&lt;= 3 horas</t>
        </is>
      </c>
      <c r="C29" s="12" t="inlineStr">
        <is>
          <t>Hotfix, tests aislados, refactor pequeño</t>
        </is>
      </c>
      <c r="D29" s="12" t="inlineStr">
        <is>
          <t>Se cierra en 1 día</t>
        </is>
      </c>
    </row>
    <row r="30" ht="36" customHeight="1">
      <c r="A30" s="27" t="inlineStr">
        <is>
          <t>M</t>
        </is>
      </c>
      <c r="B30" s="8" t="inlineStr">
        <is>
          <t>3-8 horas</t>
        </is>
      </c>
      <c r="C30" s="12" t="inlineStr">
        <is>
          <t>Feature mediana, requiere tests</t>
        </is>
      </c>
      <c r="D30" s="12" t="inlineStr">
        <is>
          <t>1-2 días, validar con pair programming</t>
        </is>
      </c>
    </row>
    <row r="31" ht="36" customHeight="1">
      <c r="A31" s="27" t="inlineStr">
        <is>
          <t>L</t>
        </is>
      </c>
      <c r="B31" s="8" t="inlineStr">
        <is>
          <t>&gt; 8 horas</t>
        </is>
      </c>
      <c r="C31" s="12" t="inlineStr">
        <is>
          <t>Feature grande o nueva integración</t>
        </is>
      </c>
      <c r="D31" s="12" t="inlineStr">
        <is>
          <t>Dividir en S o M; WIP = 3</t>
        </is>
      </c>
    </row>
    <row r="33">
      <c r="A33" s="3" t="inlineStr">
        <is>
          <t>Reglas operativas</t>
        </is>
      </c>
      <c r="B33" s="28" t="n"/>
      <c r="C33" s="28" t="n"/>
      <c r="D33" s="29" t="n"/>
    </row>
    <row r="34" ht="36" customHeight="1">
      <c r="A34" s="5" t="inlineStr">
        <is>
          <t>WIP Máximo 3</t>
        </is>
      </c>
      <c r="B34" s="12" t="inlineStr">
        <is>
          <t>Cada persona (Benjamín o Julián) tiene máximo 3 tarjetas en curso simultáneamente.</t>
        </is>
      </c>
      <c r="C34" s="28" t="n"/>
      <c r="D34" s="29" t="n"/>
    </row>
    <row r="35" ht="36" customHeight="1">
      <c r="A35" s="5" t="inlineStr">
        <is>
          <t>Daily sync</t>
        </is>
      </c>
      <c r="B35" s="12" t="inlineStr">
        <is>
          <t>Reunión diaria de 15 minutos. Actualización de tarjetas en este Excel y en BACKLOG.md.</t>
        </is>
      </c>
      <c r="C35" s="28" t="n"/>
      <c r="D35" s="29" t="n"/>
    </row>
    <row r="36" ht="36" customHeight="1">
      <c r="A36" s="5" t="inlineStr">
        <is>
          <t>Pull semanal</t>
        </is>
      </c>
      <c r="B36" s="12" t="inlineStr">
        <is>
          <t>Lunes: revisión de WIP, cierre de tarjetas, replanificación de la semana.</t>
        </is>
      </c>
      <c r="C36" s="28" t="n"/>
      <c r="D36" s="29" t="n"/>
    </row>
    <row r="37" ht="36" customHeight="1">
      <c r="A37" s="5" t="inlineStr">
        <is>
          <t>Cierre con DoD</t>
        </is>
      </c>
      <c r="B37" s="12" t="inlineStr">
        <is>
          <t>Una tarjeta pasa a Hecho solo cuando: tests pasan + verificación manual + DoD cumplido + tarjeta movida en Trello.</t>
        </is>
      </c>
      <c r="C37" s="28" t="n"/>
      <c r="D37" s="29" t="n"/>
    </row>
    <row r="38" ht="36" customHeight="1">
      <c r="A38" s="5" t="inlineStr">
        <is>
          <t>Numeración</t>
        </is>
      </c>
      <c r="B38" s="12" t="inlineStr">
        <is>
          <t>Los IDs son estables: si se elimina una tarjeta, el ID NO se reasigna (mantiene trazabilidad).</t>
        </is>
      </c>
      <c r="C38" s="28" t="n"/>
      <c r="D38" s="29" t="n"/>
    </row>
    <row r="39" ht="36" customHeight="1">
      <c r="A39" s="5" t="inlineStr">
        <is>
          <t>Cambio de alcance</t>
        </is>
      </c>
      <c r="B39" s="12" t="inlineStr">
        <is>
          <t>Toda nueva tarjeta se agrega con su ID correlativo y se discute en el pull semanal.</t>
        </is>
      </c>
      <c r="C39" s="28" t="n"/>
      <c r="D39" s="29" t="n"/>
    </row>
  </sheetData>
  <mergeCells count="13">
    <mergeCell ref="A2:L2"/>
    <mergeCell ref="A27:D27"/>
    <mergeCell ref="B36:D36"/>
    <mergeCell ref="B37:D37"/>
    <mergeCell ref="A4:D4"/>
    <mergeCell ref="A1:L1"/>
    <mergeCell ref="A21:D21"/>
    <mergeCell ref="B35:D35"/>
    <mergeCell ref="A15:D15"/>
    <mergeCell ref="A33:D33"/>
    <mergeCell ref="B39:D39"/>
    <mergeCell ref="B38:D38"/>
    <mergeCell ref="B34:D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2026-10-18T01:42:12Z</dcterms:created>
  <dcterms:modified xmlns:dcterms="http://purl.org/dc/terms/" xmlns:xsi="http://www.w3.org/2001/XMLSchema-instance" xsi:type="dcterms:W3CDTF">2026-10-18T01:47:02Z</dcterms:modified>
</cp:coreProperties>
</file>